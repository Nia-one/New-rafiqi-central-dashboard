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5"/>
    <sheet state="hidden" name="Lists" sheetId="2" r:id="rId6"/>
    <sheet state="visible" name="Source_Registry" sheetId="3" r:id="rId7"/>
    <sheet state="visible" name="Policy_Registry" sheetId="4" r:id="rId8"/>
    <sheet state="visible" name="Theatre_Master" sheetId="5" r:id="rId9"/>
    <sheet state="visible" name="Studio_Master" sheetId="6" r:id="rId10"/>
    <sheet state="visible" name="People_Roster" sheetId="7" r:id="rId11"/>
    <sheet state="visible" name="Enterprise_Demand" sheetId="8" r:id="rId12"/>
    <sheet state="visible" name="Member_Activation" sheetId="9" r:id="rId13"/>
    <sheet state="visible" name="Hourly_Heartbeat" sheetId="10" r:id="rId14"/>
    <sheet state="visible" name="Incident_Log" sheetId="11" r:id="rId15"/>
    <sheet state="visible" name="Action_Log" sheetId="12" r:id="rId16"/>
    <sheet state="visible" name="Evidence_Log" sheetId="13" r:id="rId17"/>
    <sheet state="visible" name="Approval_Log" sheetId="14" r:id="rId18"/>
    <sheet state="visible" name="Living_Hourly" sheetId="15" r:id="rId19"/>
    <sheet state="visible" name="Work_Hourly" sheetId="16" r:id="rId20"/>
    <sheet state="visible" name="Essentials_Hourly" sheetId="17" r:id="rId21"/>
    <sheet state="visible" name="Finance_Daily" sheetId="18" r:id="rId22"/>
    <sheet state="visible" name="Dashboard_Overview" sheetId="19" r:id="rId23"/>
    <sheet state="visible" name="CM_History" sheetId="20" r:id="rId24"/>
    <sheet state="visible" name="Constraints" sheetId="21" r:id="rId25"/>
    <sheet state="visible" name="Previous_Block" sheetId="22" r:id="rId2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[source_id] AUTOMATED (ID) - do not type here.
</t>
      </text>
    </comment>
    <comment authorId="0" ref="B1">
      <text>
        <t xml:space="preserve">[source_name] USER - type a value here.
Name of the capture source, e.g. WhatsApp bot v1.0</t>
      </text>
    </comment>
    <comment authorId="0" ref="C1">
      <text>
        <t xml:space="preserve">[google_sheet_id] USER - type a value here.
RESTRICTED - internal use only</t>
      </text>
    </comment>
    <comment authorId="0" ref="D1">
      <text>
        <t xml:space="preserve">[tab_name] USER - type a value here. Choose from dropdown only; free typing is blocked.
Which governed tab this source writes to</t>
      </text>
    </comment>
    <comment authorId="0" ref="E1">
      <text>
        <t xml:space="preserve">[owner_role] USER - type a value here. Choose from dropdown only; free typing is blocked.</t>
      </text>
    </comment>
    <comment authorId="0" ref="F1">
      <text>
        <t xml:space="preserve">[expected_cadence_minutes] USER - type a value here.
e.g. 60</t>
      </text>
    </comment>
    <comment authorId="0" ref="G1">
      <text>
        <t xml:space="preserve">[last_source_update_at] USER - type a value here.</t>
      </text>
    </comment>
    <comment authorId="0" ref="H1">
      <text>
        <t xml:space="preserve">[last_ingested_at] USER - type a value here.</t>
      </text>
    </comment>
    <comment authorId="0" ref="I1">
      <text>
        <t xml:space="preserve">[freshness_status] AUTOMATED (formula) - do not type here.
Formula meaning: Computed from cadence
</t>
      </text>
    </comment>
    <comment authorId="0" ref="J1">
      <text>
        <t xml:space="preserve">[notes] USER - type a value here.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[policy_id] AUTOMATED (ID) - do not type here.
</t>
      </text>
    </comment>
    <comment authorId="0" ref="B1">
      <text>
        <t xml:space="preserve">[policy_name] USER - type a value here.</t>
      </text>
    </comment>
    <comment authorId="0" ref="C1">
      <text>
        <t xml:space="preserve">[policy_value] USER - type a value here.</t>
      </text>
    </comment>
    <comment authorId="0" ref="D1">
      <text>
        <t xml:space="preserve">[unit] USER - type a value here.</t>
      </text>
    </comment>
    <comment authorId="0" ref="E1">
      <text>
        <t xml:space="preserve">[effective_from] USER - type a value here.</t>
      </text>
    </comment>
    <comment authorId="0" ref="F1">
      <text>
        <t xml:space="preserve">[approved_by] USER - type a value here. Choose from dropdown only; free typing is blocked.</t>
      </text>
    </comment>
    <comment authorId="0" ref="G1">
      <text>
        <t xml:space="preserve">[status] USER - type a value here. Choose from dropdown only; free typing is blocked.</t>
      </text>
    </comment>
    <comment authorId="0" ref="H1">
      <text>
        <t xml:space="preserve">[source_note] USER - type a value here.</t>
      </text>
    </comment>
    <comment authorId="0" ref="I1">
      <text>
        <t xml:space="preserve">[updated_at] USER - type a value here.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[theatre_id] AUTOMATED (ID) - do not type here.
</t>
      </text>
    </comment>
    <comment authorId="0" ref="B1">
      <text>
        <t xml:space="preserve">[theatre_name] USER - type a value here.</t>
      </text>
    </comment>
    <comment authorId="0" ref="C1">
      <text>
        <t xml:space="preserve">[theatre_code] USER - type a value here.</t>
      </text>
    </comment>
    <comment authorId="0" ref="D1">
      <text>
        <t xml:space="preserve">[active] USER - type a value here. Choose from dropdown only; free typing is blocked.</t>
      </text>
    </comment>
    <comment authorId="0" ref="E1">
      <text>
        <t xml:space="preserve">[lead_actor_id] USER - choose from dropdown only (Pick from People_Roster!actor_id). Free typing is blocked.
</t>
      </text>
    </comment>
    <comment authorId="0" ref="F1">
      <text>
        <t xml:space="preserve">[geography] USER - type a value here.</t>
      </text>
    </comment>
    <comment authorId="0" ref="G1">
      <text>
        <t xml:space="preserve">[updated_at] USER - type a value here.</t>
      </text>
    </comment>
    <comment authorId="0" ref="H1">
      <text>
        <t xml:space="preserve">[source_id] USER - choose from dropdown only (Pick from Source_Registry!source_id). Free typing is blocked.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[studio_id] AUTOMATED (ID) - do not type here.
</t>
      </text>
    </comment>
    <comment authorId="0" ref="B1">
      <text>
        <t xml:space="preserve">[theatre_id] USER - choose from dropdown only (Pick from Theatre_Master!theatre_id). Free typing is blocked.
</t>
      </text>
    </comment>
    <comment authorId="0" ref="C1">
      <text>
        <t xml:space="preserve">[studio_name] USER - type a value here.</t>
      </text>
    </comment>
    <comment authorId="0" ref="D1">
      <text>
        <t xml:space="preserve">[address] USER - type a value here.
RESTRICTED</t>
      </text>
    </comment>
    <comment authorId="0" ref="E1">
      <text>
        <t xml:space="preserve">[latitude] USER - type a value here.</t>
      </text>
    </comment>
    <comment authorId="0" ref="F1">
      <text>
        <t xml:space="preserve">[longitude] USER - type a value here.</t>
      </text>
    </comment>
    <comment authorId="0" ref="G1">
      <text>
        <t xml:space="preserve">[operating_model] USER - type a value here. Choose from dropdown only; free typing is blocked.</t>
      </text>
    </comment>
    <comment authorId="0" ref="H1">
      <text>
        <t xml:space="preserve">[supply_model] USER - type a value here. Choose from dropdown only; free typing is blocked.</t>
      </text>
    </comment>
    <comment authorId="0" ref="I1">
      <text>
        <t xml:space="preserve">[studio_partner_id] USER - type a value here.</t>
      </text>
    </comment>
    <comment authorId="0" ref="J1">
      <text>
        <t xml:space="preserve">[contract_status] USER - type a value here. Choose from dropdown only; free typing is blocked.</t>
      </text>
    </comment>
    <comment authorId="0" ref="K1">
      <text>
        <t xml:space="preserve">[readiness_status] USER - type a value here. Choose from dropdown only; free typing is blocked.</t>
      </text>
    </comment>
    <comment authorId="0" ref="L1">
      <text>
        <t xml:space="preserve">[contracted_nests] USER - type a value here.</t>
      </text>
    </comment>
    <comment authorId="0" ref="M1">
      <text>
        <t xml:space="preserve">[activation_ready_nests] USER - type a value here.</t>
      </text>
    </comment>
    <comment authorId="0" ref="N1">
      <text>
        <t xml:space="preserve">[monthly_partner_cost_inr] USER - type a value here.</t>
      </text>
    </comment>
    <comment authorId="0" ref="O1">
      <text>
        <t xml:space="preserve">[refundable_deposit_inr] USER - type a value here.</t>
      </text>
    </comment>
    <comment authorId="0" ref="P1">
      <text>
        <t xml:space="preserve">[nonrefundable_deposit_inr] USER - type a value here.</t>
      </text>
    </comment>
    <comment authorId="0" ref="Q1">
      <text>
        <t xml:space="preserve">[nia_capex_inr] USER - type a value here.</t>
      </text>
    </comment>
    <comment authorId="0" ref="R1">
      <text>
        <t xml:space="preserve">[launch_working_capital_inr] USER - type a value here.</t>
      </text>
    </comment>
    <comment authorId="0" ref="S1">
      <text>
        <t xml:space="preserve">[capital_per_ready_nest_inr] AUTOMATED (formula) - do not type here.
Formula meaning: = (capex+working capital)/ready nests
</t>
      </text>
    </comment>
    <comment authorId="0" ref="T1">
      <text>
        <t xml:space="preserve">[active] USER - type a value here. Choose from dropdown only; free typing is blocked.</t>
      </text>
    </comment>
    <comment authorId="0" ref="U1">
      <text>
        <t xml:space="preserve">[updated_at] USER - type a value here.</t>
      </text>
    </comment>
    <comment authorId="0" ref="V1">
      <text>
        <t xml:space="preserve">[source_id] USER - choose from dropdown only (Pick from Source_Registry!source_id). Free typing is blocked.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[actor_id] AUTOMATED (ID) - do not type here.
</t>
      </text>
    </comment>
    <comment authorId="0" ref="B1">
      <text>
        <t xml:space="preserve">[display_name] USER - type a value here.</t>
      </text>
    </comment>
    <comment authorId="0" ref="C1">
      <text>
        <t xml:space="preserve">[whatsapp_phone_hash] USER - type a value here.
RESTRICTED - hashed phone only, never raw number</t>
      </text>
    </comment>
    <comment authorId="0" ref="D1">
      <text>
        <t xml:space="preserve">[role] USER - type a value here. Choose from dropdown only; free typing is blocked.</t>
      </text>
    </comment>
    <comment authorId="0" ref="E1">
      <text>
        <t xml:space="preserve">[theatre_id] USER - choose from dropdown only (Pick from Theatre_Master!theatre_id). Free typing is blocked.
</t>
      </text>
    </comment>
    <comment authorId="0" ref="F1">
      <text>
        <t xml:space="preserve">[studio_id] USER - choose from dropdown only (Pick from Studio_Master!studio_id). Free typing is blocked.
</t>
      </text>
    </comment>
    <comment authorId="0" ref="G1">
      <text>
        <t xml:space="preserve">[manager_actor_id] USER - choose from dropdown only (Pick from People_Roster!actor_id). Free typing is blocked.
</t>
      </text>
    </comment>
    <comment authorId="0" ref="H1">
      <text>
        <t xml:space="preserve">[active_shift] USER - type a value here. Choose from dropdown only; free typing is blocked.</t>
      </text>
    </comment>
    <comment authorId="0" ref="I1">
      <text>
        <t xml:space="preserve">[shift_start_at] USER - type a value here.</t>
      </text>
    </comment>
    <comment authorId="0" ref="J1">
      <text>
        <t xml:space="preserve">[shift_end_at] USER - type a value here.</t>
      </text>
    </comment>
    <comment authorId="0" ref="K1">
      <text>
        <t xml:space="preserve">[language] USER - type a value here. Choose from dropdown only; free typing is blocked.</t>
      </text>
    </comment>
    <comment authorId="0" ref="L1">
      <text>
        <t xml:space="preserve">[last_heartbeat_at] USER - type a value here.</t>
      </text>
    </comment>
    <comment authorId="0" ref="M1">
      <text>
        <t xml:space="preserve">[next_heartbeat_due_at] AUTOMATED (formula) - do not type here.
Formula meaning: = last heartbeat + 60 min
</t>
      </text>
    </comment>
    <comment authorId="0" ref="N1">
      <text>
        <t xml:space="preserve">[updated_at] USER - type a value here.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[demand_id] AUTOMATED (ID) - do not type here.
</t>
      </text>
    </comment>
    <comment authorId="0" ref="B1">
      <text>
        <t xml:space="preserve">[enterprise_id] USER - type a value here.</t>
      </text>
    </comment>
    <comment authorId="0" ref="C1">
      <text>
        <t xml:space="preserve">[enterprise_name] USER - type a value here.</t>
      </text>
    </comment>
    <comment authorId="0" ref="D1">
      <text>
        <t xml:space="preserve">[plant_id] USER - type a value here.</t>
      </text>
    </comment>
    <comment authorId="0" ref="E1">
      <text>
        <t xml:space="preserve">[plant_name] USER - type a value here.</t>
      </text>
    </comment>
    <comment authorId="0" ref="F1">
      <text>
        <t xml:space="preserve">[latitude] USER - type a value here.</t>
      </text>
    </comment>
    <comment authorId="0" ref="G1">
      <text>
        <t xml:space="preserve">[longitude] USER - type a value here.</t>
      </text>
    </comment>
    <comment authorId="0" ref="H1">
      <text>
        <t xml:space="preserve">[role_required] USER - type a value here.</t>
      </text>
    </comment>
    <comment authorId="0" ref="I1">
      <text>
        <t xml:space="preserve">[skill_required] USER - type a value here.</t>
      </text>
    </comment>
    <comment authorId="0" ref="J1">
      <text>
        <t xml:space="preserve">[shift] USER - type a value here. Choose from dropdown only; free typing is blocked.</t>
      </text>
    </comment>
    <comment authorId="0" ref="K1">
      <text>
        <t xml:space="preserve">[headcount_required] USER - type a value here.</t>
      </text>
    </comment>
    <comment authorId="0" ref="L1">
      <text>
        <t xml:space="preserve">[headcount_matched] USER - type a value here.</t>
      </text>
    </comment>
    <comment authorId="0" ref="M1">
      <text>
        <t xml:space="preserve">[headcount_remaining] AUTOMATED (formula) - do not type here.
Formula meaning: = required - matched
</t>
      </text>
    </comment>
    <comment authorId="0" ref="N1">
      <text>
        <t xml:space="preserve">[wage_inr] USER - type a value here.
RESTRICTED</t>
      </text>
    </comment>
    <comment authorId="0" ref="O1">
      <text>
        <t xml:space="preserve">[activation_required_at] USER - type a value here.</t>
      </text>
    </comment>
    <comment authorId="0" ref="P1">
      <text>
        <t xml:space="preserve">[certainty] USER - type a value here. Choose from dropdown only; free typing is blocked.</t>
      </text>
    </comment>
    <comment authorId="0" ref="Q1">
      <text>
        <t xml:space="preserve">[status] USER - type a value here. Choose from dropdown only; free typing is blocked.</t>
      </text>
    </comment>
    <comment authorId="0" ref="R1">
      <text>
        <t xml:space="preserve">[owner_actor_id] USER - choose from dropdown only (Pick from People_Roster!actor_id). Free typing is blocked.
</t>
      </text>
    </comment>
    <comment authorId="0" ref="S1">
      <text>
        <t xml:space="preserve">[opened_at] USER - type a value here.</t>
      </text>
    </comment>
    <comment authorId="0" ref="T1">
      <text>
        <t xml:space="preserve">[age_hours] AUTOMATED (formula) - do not type here.
Formula meaning: = hours since opened
</t>
      </text>
    </comment>
    <comment authorId="0" ref="U1">
      <text>
        <t xml:space="preserve">[source_submission_id] USER - type a value here.</t>
      </text>
    </comment>
    <comment authorId="0" ref="V1">
      <text>
        <t xml:space="preserve">[updated_at] USER - type a value here.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[activation_id] AUTOMATED (ID) - do not type here.
</t>
      </text>
    </comment>
    <comment authorId="0" ref="B1">
      <text>
        <t xml:space="preserve">[member_token] USER - type a value here.
RESTRICTED - pseudonymous token only</t>
      </text>
    </comment>
    <comment authorId="0" ref="C1">
      <text>
        <t xml:space="preserve">[activated_at] USER - type a value here.</t>
      </text>
    </comment>
    <comment authorId="0" ref="D1">
      <text>
        <t xml:space="preserve">[theatre_id] USER - choose from dropdown only (Pick from Theatre_Master!theatre_id). Free typing is blocked.
</t>
      </text>
    </comment>
    <comment authorId="0" ref="E1">
      <text>
        <t xml:space="preserve">[studio_id] USER - choose from dropdown only (Pick from Studio_Master!studio_id). Free typing is blocked.
</t>
      </text>
    </comment>
    <comment authorId="0" ref="F1">
      <text>
        <t xml:space="preserve">[nest_id] USER - type a value here.</t>
      </text>
    </comment>
    <comment authorId="0" ref="G1">
      <text>
        <t xml:space="preserve">[demand_id] USER - choose from dropdown only (Pick from Enterprise_Demand!demand_id). Free typing is blocked.
</t>
      </text>
    </comment>
    <comment authorId="0" ref="H1">
      <text>
        <t xml:space="preserve">[enterprise_id] USER - type a value here.</t>
      </text>
    </comment>
    <comment authorId="0" ref="I1">
      <text>
        <t xml:space="preserve">[work_assignment_id] USER - type a value here.</t>
      </text>
    </comment>
    <comment authorId="0" ref="J1">
      <text>
        <t xml:space="preserve">[membership_billed_inr] USER - type a value here.</t>
      </text>
    </comment>
    <comment authorId="0" ref="K1">
      <text>
        <t xml:space="preserve">[membership_collected_inr] USER - type a value here.</t>
      </text>
    </comment>
    <comment authorId="0" ref="L1">
      <text>
        <t xml:space="preserve">[collection_leakage_inr] AUTOMATED (formula) - do not type here.
Formula meaning: = billed - collected
</t>
      </text>
    </comment>
    <comment authorId="0" ref="M1">
      <text>
        <t xml:space="preserve">[activation_evidence_url] USER - type a value here.
RESTRICTED - protected link only</t>
      </text>
    </comment>
    <comment authorId="0" ref="N1">
      <text>
        <t xml:space="preserve">[verified_at] USER - type a value here.</t>
      </text>
    </comment>
    <comment authorId="0" ref="O1">
      <text>
        <t xml:space="preserve">[verified_by] USER - choose from dropdown only (Pick from People_Roster!actor_id). Free typing is blocked.
</t>
      </text>
    </comment>
    <comment authorId="0" ref="P1">
      <text>
        <t xml:space="preserve">[verification_status] USER - type a value here. Choose from dropdown only; free typing is blocked.</t>
      </text>
    </comment>
    <comment authorId="0" ref="Q1">
      <text>
        <t xml:space="preserve">[source_submission_id] USER - type a value here.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[heartbeat_id] AUTOMATED (ID) - do not type here.
</t>
      </text>
    </comment>
    <comment authorId="0" ref="B1">
      <text>
        <t xml:space="preserve">[actor_id] USER - choose from dropdown only (Pick from People_Roster!actor_id). Free typing is blocked.
</t>
      </text>
    </comment>
    <comment authorId="0" ref="C1">
      <text>
        <t xml:space="preserve">[role] USER - type a value here. Choose from dropdown only; free typing is blocked.</t>
      </text>
    </comment>
    <comment authorId="0" ref="D1">
      <text>
        <t xml:space="preserve">[theatre_id] USER - choose from dropdown only (Pick from Theatre_Master!theatre_id). Free typing is blocked.
</t>
      </text>
    </comment>
    <comment authorId="0" ref="E1">
      <text>
        <t xml:space="preserve">[studio_id] USER - choose from dropdown only (Pick from Studio_Master!studio_id). Free typing is blocked.
</t>
      </text>
    </comment>
    <comment authorId="0" ref="F1">
      <text>
        <t xml:space="preserve">[window_start_at] USER - type a value here.</t>
      </text>
    </comment>
    <comment authorId="0" ref="G1">
      <text>
        <t xml:space="preserve">[window_end_at] AUTOMATED (formula) - do not type here.
Formula meaning: = window start + 60 min
</t>
      </text>
    </comment>
    <comment authorId="0" ref="H1">
      <text>
        <t xml:space="preserve">[captured_at] USER - type a value here.</t>
      </text>
    </comment>
    <comment authorId="0" ref="I1">
      <text>
        <t xml:space="preserve">[trigger_type] USER - type a value here. Choose from dropdown only; free typing is blocked.</t>
      </text>
    </comment>
    <comment authorId="0" ref="J1">
      <text>
        <t xml:space="preserve">[new_or_changed_demand] USER - type a value here. Choose from dropdown only; free typing is blocked.</t>
      </text>
    </comment>
    <comment authorId="0" ref="K1">
      <text>
        <t xml:space="preserve">[open_headcount] USER - type a value here.</t>
      </text>
    </comment>
    <comment authorId="0" ref="L1">
      <text>
        <t xml:space="preserve">[matched_headcount] USER - type a value here.</t>
      </text>
    </comment>
    <comment authorId="0" ref="M1">
      <text>
        <t xml:space="preserve">[contracted_nests] USER - type a value here.</t>
      </text>
    </comment>
    <comment authorId="0" ref="N1">
      <text>
        <t xml:space="preserve">[activation_ready_nests] USER - type a value here.</t>
      </text>
    </comment>
    <comment authorId="0" ref="O1">
      <text>
        <t xml:space="preserve">[occupied_nests] USER - type a value here.</t>
      </text>
    </comment>
    <comment authorId="0" ref="P1">
      <text>
        <t xml:space="preserve">[activations_last_hour] USER - type a value here.</t>
      </text>
    </comment>
    <comment authorId="0" ref="Q1">
      <text>
        <t xml:space="preserve">[membership_ends_last_hour] USER - type a value here.</t>
      </text>
    </comment>
    <comment authorId="0" ref="R1">
      <text>
        <t xml:space="preserve">[open_service_requests] USER - type a value here.</t>
      </text>
    </comment>
    <comment authorId="0" ref="S1">
      <text>
        <t xml:space="preserve">[essentials_orders] USER - type a value here.</t>
      </text>
    </comment>
    <comment authorId="0" ref="T1">
      <text>
        <t xml:space="preserve">[essentials_stockouts] USER - type a value here.</t>
      </text>
    </comment>
    <comment authorId="0" ref="U1">
      <text>
        <t xml:space="preserve">[work_members_joined] USER - type a value here.</t>
      </text>
    </comment>
    <comment authorId="0" ref="V1">
      <text>
        <t xml:space="preserve">[attendance_exceptions] USER - type a value here.</t>
      </text>
    </comment>
    <comment authorId="0" ref="W1">
      <text>
        <t xml:space="preserve">[work_billed_inr] USER - type a value here.</t>
      </text>
    </comment>
    <comment authorId="0" ref="X1">
      <text>
        <t xml:space="preserve">[work_collected_inr] USER - type a value here.</t>
      </text>
    </comment>
    <comment authorId="0" ref="Y1">
      <text>
        <t xml:space="preserve">[essentials_billed_inr] USER - type a value here.</t>
      </text>
    </comment>
    <comment authorId="0" ref="Z1">
      <text>
        <t xml:space="preserve">[essentials_collected_inr] USER - type a value here.</t>
      </text>
    </comment>
    <comment authorId="0" ref="AA1">
      <text>
        <t xml:space="preserve">[living_billed_inr] USER - type a value here.</t>
      </text>
    </comment>
    <comment authorId="0" ref="AB1">
      <text>
        <t xml:space="preserve">[living_collected_inr] USER - type a value here.</t>
      </text>
    </comment>
    <comment authorId="0" ref="AC1">
      <text>
        <t xml:space="preserve">[primary_blocker] USER - type a value here.</t>
      </text>
    </comment>
    <comment authorId="0" ref="AD1">
      <text>
        <t xml:space="preserve">[next_action] USER - type a value here.</t>
      </text>
    </comment>
    <comment authorId="0" ref="AE1">
      <text>
        <t xml:space="preserve">[next_action_owner_actor_id] USER - choose from dropdown only (Pick from People_Roster!actor_id). Free typing is blocked.
</t>
      </text>
    </comment>
    <comment authorId="0" ref="AF1">
      <text>
        <t xml:space="preserve">[next_action_due_at] USER - type a value here.</t>
      </text>
    </comment>
    <comment authorId="0" ref="AG1">
      <text>
        <t xml:space="preserve">[source_submission_id] USER - type a value here.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[incident_id] AUTOMATED (ID) - do not type here.
</t>
      </text>
    </comment>
    <comment authorId="0" ref="B1">
      <text>
        <t xml:space="preserve">[domain] USER - type a value here. Choose from dropdown only; free typing is blocked.</t>
      </text>
    </comment>
    <comment authorId="0" ref="C1">
      <text>
        <t xml:space="preserve">[incident_type] USER - type a value here.</t>
      </text>
    </comment>
    <comment authorId="0" ref="D1">
      <text>
        <t xml:space="preserve">[event_at] USER - type a value here.</t>
      </text>
    </comment>
    <comment authorId="0" ref="E1">
      <text>
        <t xml:space="preserve">[theatre_id] USER - choose from dropdown only (Pick from Theatre_Master!theatre_id). Free typing is blocked.
</t>
      </text>
    </comment>
    <comment authorId="0" ref="F1">
      <text>
        <t xml:space="preserve">[studio_id] USER - choose from dropdown only (Pick from Studio_Master!studio_id). Free typing is blocked.
</t>
      </text>
    </comment>
    <comment authorId="0" ref="G1">
      <text>
        <t xml:space="preserve">[enterprise_id] USER - type a value here.</t>
      </text>
    </comment>
    <comment authorId="0" ref="H1">
      <text>
        <t xml:space="preserve">[demand_id] USER - choose from dropdown only (Pick from Enterprise_Demand!demand_id). Free typing is blocked.
</t>
      </text>
    </comment>
    <comment authorId="0" ref="I1">
      <text>
        <t xml:space="preserve">[short_description] USER - type a value here.
One factual sentence</t>
      </text>
    </comment>
    <comment authorId="0" ref="J1">
      <text>
        <t xml:space="preserve">[impacted_members] USER - type a value here.
Use 0 when genuinely none</t>
      </text>
    </comment>
    <comment authorId="0" ref="K1">
      <text>
        <t xml:space="preserve">[impacted_nests] USER - type a value here.
Use 0 when genuinely none</t>
      </text>
    </comment>
    <comment authorId="0" ref="L1">
      <text>
        <t xml:space="preserve">[amount_at_risk_inr] USER - type a value here.</t>
      </text>
    </comment>
    <comment authorId="0" ref="M1">
      <text>
        <t xml:space="preserve">[severity] USER - type a value here. Choose from dropdown only; free typing is blocked.</t>
      </text>
    </comment>
    <comment authorId="0" ref="N1">
      <text>
        <t xml:space="preserve">[severity_reason] USER - type a value here.</t>
      </text>
    </comment>
    <comment authorId="0" ref="O1">
      <text>
        <t xml:space="preserve">[owner_actor_id] USER - choose from dropdown only (Pick from People_Roster!actor_id). Free typing is blocked.
</t>
      </text>
    </comment>
    <comment authorId="0" ref="P1">
      <text>
        <t xml:space="preserve">[due_at] USER - type a value here.</t>
      </text>
    </comment>
    <comment authorId="0" ref="Q1">
      <text>
        <t xml:space="preserve">[action_required] USER - type a value here.</t>
      </text>
    </comment>
    <comment authorId="0" ref="R1">
      <text>
        <t xml:space="preserve">[approval_required] USER - type a value here. Choose from dropdown only; free typing is blocked.</t>
      </text>
    </comment>
    <comment authorId="0" ref="S1">
      <text>
        <t xml:space="preserve">[approver] USER - type a value here. Choose from dropdown only; free typing is blocked.</t>
      </text>
    </comment>
    <comment authorId="0" ref="T1">
      <text>
        <t xml:space="preserve">[duplicate_key] AUTOMATED (formula) - do not type here.
Formula meaning: = hour bucket + domain + type + location
</t>
      </text>
    </comment>
    <comment authorId="0" ref="U1">
      <text>
        <t xml:space="preserve">[age_hours] AUTOMATED (formula) - do not type here.
Formula meaning: = hours since event
</t>
      </text>
    </comment>
    <comment authorId="0" ref="V1">
      <text>
        <t xml:space="preserve">[overdue_status] AUTOMATED (formula) - do not type here.
Formula meaning: = compares now to due date
</t>
      </text>
    </comment>
    <comment authorId="0" ref="W1">
      <text>
        <t xml:space="preserve">[state] USER - type a value here. Choose from dropdown only; free typing is blocked.</t>
      </text>
    </comment>
    <comment authorId="0" ref="X1">
      <text>
        <t xml:space="preserve">[resolved_at] USER - type a value here.</t>
      </text>
    </comment>
    <comment authorId="0" ref="Y1">
      <text>
        <t xml:space="preserve">[resolution_notes] USER - type a value here.</t>
      </text>
    </comment>
    <comment authorId="0" ref="Z1">
      <text>
        <t xml:space="preserve">[reported_by_actor_id] USER - choose from dropdown only (Pick from People_Roster!actor_id). Free typing is blocked.
</t>
      </text>
    </comment>
    <comment authorId="0" ref="AA1">
      <text>
        <t xml:space="preserve">[reported_at] USER - type a value here.</t>
      </text>
    </comment>
    <comment authorId="0" ref="AB1">
      <text>
        <t xml:space="preserve">[evidence_required] USER - type a value here. Choose from dropdown only; free typing is blocked.</t>
      </text>
    </comment>
    <comment authorId="0" ref="AC1">
      <text>
        <t xml:space="preserve">[source_submission_id] USER - type a value here.</t>
      </text>
    </comment>
    <comment authorId="0" ref="AD1">
      <text>
        <t xml:space="preserve">[updated_at] USER - type a value here.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[action_id] AUTOMATED (ID) - do not type here.
</t>
      </text>
    </comment>
    <comment authorId="0" ref="B1">
      <text>
        <t xml:space="preserve">[incident_id] USER - choose from dropdown only (Pick from Incident_Log!incident_id). Free typing is blocked.
</t>
      </text>
    </comment>
    <comment authorId="0" ref="C1">
      <text>
        <t xml:space="preserve">[operating_objective] USER - type a value here.</t>
      </text>
    </comment>
    <comment authorId="0" ref="D1">
      <text>
        <t xml:space="preserve">[expected_metric] USER - type a value here.</t>
      </text>
    </comment>
    <comment authorId="0" ref="E1">
      <text>
        <t xml:space="preserve">[baseline_value] USER - type a value here.</t>
      </text>
    </comment>
    <comment authorId="0" ref="F1">
      <text>
        <t xml:space="preserve">[target_value] USER - type a value here.</t>
      </text>
    </comment>
    <comment authorId="0" ref="G1">
      <text>
        <t xml:space="preserve">[expected_financial_impact_inr] USER - type a value here.</t>
      </text>
    </comment>
    <comment authorId="0" ref="H1">
      <text>
        <t xml:space="preserve">[confidence] USER - type a value here.
e.g. High / Medium / Low</t>
      </text>
    </comment>
    <comment authorId="0" ref="I1">
      <text>
        <t xml:space="preserve">[owner_actor_id] USER - choose from dropdown only (Pick from People_Roster!actor_id). Free typing is blocked.
</t>
      </text>
    </comment>
    <comment authorId="0" ref="J1">
      <text>
        <t xml:space="preserve">[due_at] USER - type a value here.</t>
      </text>
    </comment>
    <comment authorId="0" ref="K1">
      <text>
        <t xml:space="preserve">[required_evidence] USER - type a value here.</t>
      </text>
    </comment>
    <comment authorId="0" ref="L1">
      <text>
        <t xml:space="preserve">[approval_tier] USER - type a value here. Choose from dropdown only; free typing is blocked.</t>
      </text>
    </comment>
    <comment authorId="0" ref="M1">
      <text>
        <t xml:space="preserve">[state] USER - type a value here. Choose from dropdown only; free typing is blocked.</t>
      </text>
    </comment>
    <comment authorId="0" ref="N1">
      <text>
        <t xml:space="preserve">[proposed_at] USER - type a value here.</t>
      </text>
    </comment>
    <comment authorId="0" ref="O1">
      <text>
        <t xml:space="preserve">[approved_at] USER - type a value here.</t>
      </text>
    </comment>
    <comment authorId="0" ref="P1">
      <text>
        <t xml:space="preserve">[approved_by] USER - choose from dropdown only (Pick from People_Roster!actor_id). Free typing is blocked.
</t>
      </text>
    </comment>
    <comment authorId="0" ref="Q1">
      <text>
        <t xml:space="preserve">[assigned_at] USER - type a value here.</t>
      </text>
    </comment>
    <comment authorId="0" ref="R1">
      <text>
        <t xml:space="preserve">[in_progress_at] USER - type a value here.</t>
      </text>
    </comment>
    <comment authorId="0" ref="S1">
      <text>
        <t xml:space="preserve">[proof_submitted_at] USER - type a value here.</t>
      </text>
    </comment>
    <comment authorId="0" ref="T1">
      <text>
        <t xml:space="preserve">[proof_evidence_id] USER - choose from dropdown only (Pick from Evidence_Log!evidence_id). Free typing is blocked.
</t>
      </text>
    </comment>
    <comment authorId="0" ref="U1">
      <text>
        <t xml:space="preserve">[verified_at] USER - type a value here.</t>
      </text>
    </comment>
    <comment authorId="0" ref="V1">
      <text>
        <t xml:space="preserve">[verified_by] USER - choose from dropdown only (Pick from People_Roster!actor_id). Free typing is blocked.
</t>
      </text>
    </comment>
    <comment authorId="0" ref="W1">
      <text>
        <t xml:space="preserve">[verification_result] USER - type a value here. Choose from dropdown only; free typing is blocked.</t>
      </text>
    </comment>
    <comment authorId="0" ref="X1">
      <text>
        <t xml:space="preserve">[closed_at] USER - type a value here.</t>
      </text>
    </comment>
    <comment authorId="0" ref="Y1">
      <text>
        <t xml:space="preserve">[reopened_at] USER - type a value here.</t>
      </text>
    </comment>
    <comment authorId="0" ref="Z1">
      <text>
        <t xml:space="preserve">[reopen_reason] USER - type a value here.</t>
      </text>
    </comment>
    <comment authorId="0" ref="AA1">
      <text>
        <t xml:space="preserve">[escalated_at] USER - type a value here.</t>
      </text>
    </comment>
    <comment authorId="0" ref="AB1">
      <text>
        <t xml:space="preserve">[source_submission_id] USER - type a value here.</t>
      </text>
    </comment>
    <comment authorId="0" ref="AC1">
      <text>
        <t xml:space="preserve">[updated_at] USER - type a value here.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[evidence_id] AUTOMATED (ID) - do not type here.
</t>
      </text>
    </comment>
    <comment authorId="0" ref="B1">
      <text>
        <t xml:space="preserve">[linked_type] USER - type a value here. Choose from dropdown only; free typing is blocked.</t>
      </text>
    </comment>
    <comment authorId="0" ref="C1">
      <text>
        <t xml:space="preserve">[linked_id] USER - type a value here.
Matching Incident_Log or Action_Log ID</t>
      </text>
    </comment>
    <comment authorId="0" ref="D1">
      <text>
        <t xml:space="preserve">[evidence_type] USER - type a value here. Choose from dropdown only; free typing is blocked.</t>
      </text>
    </comment>
    <comment authorId="0" ref="E1">
      <text>
        <t xml:space="preserve">[protected_url] USER - type a value here.
RESTRICTED - protected storage link only</t>
      </text>
    </comment>
    <comment authorId="0" ref="F1">
      <text>
        <t xml:space="preserve">[uploaded_by_actor_id] USER - choose from dropdown only (Pick from People_Roster!actor_id). Free typing is blocked.
</t>
      </text>
    </comment>
    <comment authorId="0" ref="G1">
      <text>
        <t xml:space="preserve">[uploaded_at] USER - type a value here.</t>
      </text>
    </comment>
    <comment authorId="0" ref="H1">
      <text>
        <t xml:space="preserve">[description] USER - type a value here.</t>
      </text>
    </comment>
    <comment authorId="0" ref="I1">
      <text>
        <t xml:space="preserve">[geo_lat] USER - type a value here.</t>
      </text>
    </comment>
    <comment authorId="0" ref="J1">
      <text>
        <t xml:space="preserve">[geo_lng] USER - type a value here.</t>
      </text>
    </comment>
    <comment authorId="0" ref="K1">
      <text>
        <t xml:space="preserve">[verification_status] USER - type a value here. Choose from dropdown only; free typing is blocked.</t>
      </text>
    </comment>
    <comment authorId="0" ref="L1">
      <text>
        <t xml:space="preserve">[rejected_reason] USER - type a value here.</t>
      </text>
    </comment>
    <comment authorId="0" ref="M1">
      <text>
        <t xml:space="preserve">[retention_class] USER - type a value here. Choose from dropdown only; free typing is blocked.</t>
      </text>
    </comment>
    <comment authorId="0" ref="N1">
      <text>
        <t xml:space="preserve">[source_submission_id] USER - type a value here.</t>
      </text>
    </comment>
    <comment authorId="0" ref="O1">
      <text>
        <t xml:space="preserve">[updated_at] USER - type a value here.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[approval_id] AUTOMATED (ID) - do not type here.
</t>
      </text>
    </comment>
    <comment authorId="0" ref="B1">
      <text>
        <t xml:space="preserve">[linked_action_id] USER - choose from dropdown only (Pick from Action_Log!action_id). Free typing is blocked.
</t>
      </text>
    </comment>
    <comment authorId="0" ref="C1">
      <text>
        <t xml:space="preserve">[decision_type] USER - type a value here. Choose from dropdown only; free typing is blocked.</t>
      </text>
    </comment>
    <comment authorId="0" ref="D1">
      <text>
        <t xml:space="preserve">[amount_inr] USER - type a value here.</t>
      </text>
    </comment>
    <comment authorId="0" ref="E1">
      <text>
        <t xml:space="preserve">[current_terms] USER - type a value here.</t>
      </text>
    </comment>
    <comment authorId="0" ref="F1">
      <text>
        <t xml:space="preserve">[proposed_terms] USER - type a value here.</t>
      </text>
    </comment>
    <comment authorId="0" ref="G1">
      <text>
        <t xml:space="preserve">[business_reason] USER - type a value here.</t>
      </text>
    </comment>
    <comment authorId="0" ref="H1">
      <text>
        <t xml:space="preserve">[expected_result] USER - type a value here.</t>
      </text>
    </comment>
    <comment authorId="0" ref="I1">
      <text>
        <t xml:space="preserve">[approver_role] USER - type a value here. Choose from dropdown only; free typing is blocked.</t>
      </text>
    </comment>
    <comment authorId="0" ref="J1">
      <text>
        <t xml:space="preserve">[approver_actor_id] USER - choose from dropdown only (Pick from People_Roster!actor_id). Free typing is blocked.
</t>
      </text>
    </comment>
    <comment authorId="0" ref="K1">
      <text>
        <t xml:space="preserve">[decision] USER - type a value here. Choose from dropdown only; free typing is blocked.</t>
      </text>
    </comment>
    <comment authorId="0" ref="L1">
      <text>
        <t xml:space="preserve">[decision_reason] USER - type a value here.</t>
      </text>
    </comment>
    <comment authorId="0" ref="M1">
      <text>
        <t xml:space="preserve">[decided_at] USER - type a value here.</t>
      </text>
    </comment>
    <comment authorId="0" ref="N1">
      <text>
        <t xml:space="preserve">[source_submission_id] USER - type a value here.</t>
      </text>
    </comment>
    <comment authorId="0" ref="O1">
      <text>
        <t xml:space="preserve">[updated_at] USER - type a value here.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[living_hourly_id] AUTOMATED (ID) - do not type here.
</t>
      </text>
    </comment>
    <comment authorId="0" ref="B1">
      <text>
        <t xml:space="preserve">[heartbeat_id] USER - choose from dropdown only (Pick from Hourly_Heartbeat!heartbeat_id). Free typing is blocked.
</t>
      </text>
    </comment>
    <comment authorId="0" ref="C1">
      <text>
        <t xml:space="preserve">[theatre_id] USER - choose from dropdown only (Pick from Theatre_Master!theatre_id). Free typing is blocked.
</t>
      </text>
    </comment>
    <comment authorId="0" ref="D1">
      <text>
        <t xml:space="preserve">[studio_id] USER - choose from dropdown only (Pick from Studio_Master!studio_id). Free typing is blocked.
</t>
      </text>
    </comment>
    <comment authorId="0" ref="E1">
      <text>
        <t xml:space="preserve">[supply_model] USER - type a value here. Choose from dropdown only; free typing is blocked.</t>
      </text>
    </comment>
    <comment authorId="0" ref="F1">
      <text>
        <t xml:space="preserve">[contracted_nests] USER - type a value here.</t>
      </text>
    </comment>
    <comment authorId="0" ref="G1">
      <text>
        <t xml:space="preserve">[activation_ready_nests] USER - type a value here.</t>
      </text>
    </comment>
    <comment authorId="0" ref="H1">
      <text>
        <t xml:space="preserve">[occupied_nests] USER - type a value here.</t>
      </text>
    </comment>
    <comment authorId="0" ref="I1">
      <text>
        <t xml:space="preserve">[activations_last_hour] USER - type a value here.</t>
      </text>
    </comment>
    <comment authorId="0" ref="J1">
      <text>
        <t xml:space="preserve">[membership_ends_last_hour] USER - type a value here.</t>
      </text>
    </comment>
    <comment authorId="0" ref="K1">
      <text>
        <t xml:space="preserve">[living_billed_inr] USER - type a value here.</t>
      </text>
    </comment>
    <comment authorId="0" ref="L1">
      <text>
        <t xml:space="preserve">[living_collected_inr] USER - type a value here.</t>
      </text>
    </comment>
    <comment authorId="0" ref="M1">
      <text>
        <t xml:space="preserve">[collection_leakage_inr] AUTOMATED (formula) - do not type here.
Formula meaning: = billed - collected
</t>
      </text>
    </comment>
    <comment authorId="0" ref="N1">
      <text>
        <t xml:space="preserve">[occupancy_ratio] AUTOMATED (formula) - do not type here.
Formula meaning: = occupied / contracted
</t>
      </text>
    </comment>
    <comment authorId="0" ref="O1">
      <text>
        <t xml:space="preserve">[billed_arpu] AUTOMATED (formula) - do not type here.
Formula meaning: = billed / occupied nests
</t>
      </text>
    </comment>
    <comment authorId="0" ref="P1">
      <text>
        <t xml:space="preserve">[open_service_requests] USER - type a value here.</t>
      </text>
    </comment>
    <comment authorId="0" ref="Q1">
      <text>
        <t xml:space="preserve">[safety_incident_flag] USER - type a value here. Choose from dropdown only; free typing is blocked.</t>
      </text>
    </comment>
    <comment authorId="0" ref="R1">
      <text>
        <t xml:space="preserve">[utility_incident_flag] USER - type a value here. Choose from dropdown only; free typing is blocked.</t>
      </text>
    </comment>
    <comment authorId="0" ref="S1">
      <text>
        <t xml:space="preserve">[readiness_blocker] USER - type a value here.</t>
      </text>
    </comment>
    <comment authorId="0" ref="T1">
      <text>
        <t xml:space="preserve">[studio_partner_blocker] USER - type a value here.</t>
      </text>
    </comment>
    <comment authorId="0" ref="U1">
      <text>
        <t xml:space="preserve">[compliance_blocker] USER - type a value here.</t>
      </text>
    </comment>
    <comment authorId="0" ref="V1">
      <text>
        <t xml:space="preserve">[primary_blocker] USER - type a value here.</t>
      </text>
    </comment>
    <comment authorId="0" ref="W1">
      <text>
        <t xml:space="preserve">[next_action] USER - type a value here.</t>
      </text>
    </comment>
    <comment authorId="0" ref="X1">
      <text>
        <t xml:space="preserve">[next_action_owner_actor_id] USER - choose from dropdown only (Pick from People_Roster!actor_id). Free typing is blocked.
</t>
      </text>
    </comment>
    <comment authorId="0" ref="Y1">
      <text>
        <t xml:space="preserve">[next_action_due_at] USER - type a value here.</t>
      </text>
    </comment>
    <comment authorId="0" ref="Z1">
      <text>
        <t xml:space="preserve">[source_submission_id] USER - type a value here.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[work_hourly_id] AUTOMATED (ID) - do not type here.
</t>
      </text>
    </comment>
    <comment authorId="0" ref="B1">
      <text>
        <t xml:space="preserve">[heartbeat_id] USER - choose from dropdown only (Pick from Hourly_Heartbeat!heartbeat_id). Free typing is blocked.
</t>
      </text>
    </comment>
    <comment authorId="0" ref="C1">
      <text>
        <t xml:space="preserve">[theatre_id] USER - choose from dropdown only (Pick from Theatre_Master!theatre_id). Free typing is blocked.
</t>
      </text>
    </comment>
    <comment authorId="0" ref="D1">
      <text>
        <t xml:space="preserve">[enterprise_id] USER - type a value here.</t>
      </text>
    </comment>
    <comment authorId="0" ref="E1">
      <text>
        <t xml:space="preserve">[demand_id] USER - choose from dropdown only (Pick from Enterprise_Demand!demand_id). Free typing is blocked.
</t>
      </text>
    </comment>
    <comment authorId="0" ref="F1">
      <text>
        <t xml:space="preserve">[open_headcount] USER - type a value here.</t>
      </text>
    </comment>
    <comment authorId="0" ref="G1">
      <text>
        <t xml:space="preserve">[matched_headcount] USER - type a value here.</t>
      </text>
    </comment>
    <comment authorId="0" ref="H1">
      <text>
        <t xml:space="preserve">[members_joined_last_hour] USER - type a value here.</t>
      </text>
    </comment>
    <comment authorId="0" ref="I1">
      <text>
        <t xml:space="preserve">[attendance_exceptions] USER - type a value here.</t>
      </text>
    </comment>
    <comment authorId="0" ref="J1">
      <text>
        <t xml:space="preserve">[work_exits] USER - type a value here.</t>
      </text>
    </comment>
    <comment authorId="0" ref="K1">
      <text>
        <t xml:space="preserve">[redeployment_needed] USER - type a value here. Choose from dropdown only; free typing is blocked.</t>
      </text>
    </comment>
    <comment authorId="0" ref="L1">
      <text>
        <t xml:space="preserve">[work_billed_inr] USER - type a value here.</t>
      </text>
    </comment>
    <comment authorId="0" ref="M1">
      <text>
        <t xml:space="preserve">[work_collected_inr] USER - type a value here.</t>
      </text>
    </comment>
    <comment authorId="0" ref="N1">
      <text>
        <t xml:space="preserve">[direct_delivery_cost_inr] USER - type a value here.</t>
      </text>
    </comment>
    <comment authorId="0" ref="O1">
      <text>
        <t xml:space="preserve">[primary_blocker] USER - type a value here.</t>
      </text>
    </comment>
    <comment authorId="0" ref="P1">
      <text>
        <t xml:space="preserve">[next_action] USER - type a value here.</t>
      </text>
    </comment>
    <comment authorId="0" ref="Q1">
      <text>
        <t xml:space="preserve">[next_action_owner_actor_id] USER - choose from dropdown only (Pick from People_Roster!actor_id). Free typing is blocked.
</t>
      </text>
    </comment>
    <comment authorId="0" ref="R1">
      <text>
        <t xml:space="preserve">[next_action_due_at] USER - type a value here.</t>
      </text>
    </comment>
    <comment authorId="0" ref="S1">
      <text>
        <t xml:space="preserve">[source_submission_id] USER - type a value here.</t>
      </text>
    </comment>
    <comment authorId="0" ref="T1">
      <text>
        <t xml:space="preserve">[updated_at] USER - type a value here.</t>
      </text>
    </comment>
    <comment authorId="0" ref="U1">
      <text>
        <t xml:space="preserve">[captured_at] USER - type a value here.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[essentials_hourly_id] AUTOMATED (ID) - do not type here.
</t>
      </text>
    </comment>
    <comment authorId="0" ref="B1">
      <text>
        <t xml:space="preserve">[heartbeat_id] USER - choose from dropdown only (Pick from Hourly_Heartbeat!heartbeat_id). Free typing is blocked.
</t>
      </text>
    </comment>
    <comment authorId="0" ref="C1">
      <text>
        <t xml:space="preserve">[theatre_id] USER - choose from dropdown only (Pick from Theatre_Master!theatre_id). Free typing is blocked.
</t>
      </text>
    </comment>
    <comment authorId="0" ref="D1">
      <text>
        <t xml:space="preserve">[studio_id] USER - choose from dropdown only (Pick from Studio_Master!studio_id). Free typing is blocked.
</t>
      </text>
    </comment>
    <comment authorId="0" ref="E1">
      <text>
        <t xml:space="preserve">[eligible_members] USER - type a value here.</t>
      </text>
    </comment>
    <comment authorId="0" ref="F1">
      <text>
        <t xml:space="preserve">[buying_members] USER - type a value here.</t>
      </text>
    </comment>
    <comment authorId="0" ref="G1">
      <text>
        <t xml:space="preserve">[orders_placed] USER - type a value here.</t>
      </text>
    </comment>
    <comment authorId="0" ref="H1">
      <text>
        <t xml:space="preserve">[orders_fulfilled] USER - type a value here.</t>
      </text>
    </comment>
    <comment authorId="0" ref="I1">
      <text>
        <t xml:space="preserve">[current_stockouts] USER - type a value here.</t>
      </text>
    </comment>
    <comment authorId="0" ref="J1">
      <text>
        <t xml:space="preserve">[zero_sale_skus] USER - type a value here.</t>
      </text>
    </comment>
    <comment authorId="0" ref="K1">
      <text>
        <t xml:space="preserve">[product_quality_incident_flag] USER - type a value here. Choose from dropdown only; free typing is blocked.</t>
      </text>
    </comment>
    <comment authorId="0" ref="L1">
      <text>
        <t xml:space="preserve">[essentials_billed_inr] USER - type a value here.</t>
      </text>
    </comment>
    <comment authorId="0" ref="M1">
      <text>
        <t xml:space="preserve">[essentials_collected_inr] USER - type a value here.</t>
      </text>
    </comment>
    <comment authorId="0" ref="N1">
      <text>
        <t xml:space="preserve">[product_cogs_inr] USER - type a value here.</t>
      </text>
    </comment>
    <comment authorId="0" ref="O1">
      <text>
        <t xml:space="preserve">[direct_fulfilment_cost_inr] USER - type a value here.</t>
      </text>
    </comment>
    <comment authorId="0" ref="P1">
      <text>
        <t xml:space="preserve">[member_savings_inr] AUTOMATED (formula) - do not type here.
Formula meaning: = MRP - Member price for fulfilled units (enter MRP/selling data upstream; placeholder 0 until Member pricing tab is added)
</t>
      </text>
    </comment>
    <comment authorId="0" ref="Q1">
      <text>
        <t xml:space="preserve">[nia_margin_inr] AUTOMATED (formula) - do not type here.
Formula meaning: = billed - COGS - direct fulfilment cost
</t>
      </text>
    </comment>
    <comment authorId="0" ref="R1">
      <text>
        <t xml:space="preserve">[primary_blocker] USER - type a value here.</t>
      </text>
    </comment>
    <comment authorId="0" ref="S1">
      <text>
        <t xml:space="preserve">[next_action] USER - type a value here.</t>
      </text>
    </comment>
    <comment authorId="0" ref="T1">
      <text>
        <t xml:space="preserve">[next_action_owner_actor_id] USER - choose from dropdown only (Pick from People_Roster!actor_id). Free typing is blocked.
</t>
      </text>
    </comment>
    <comment authorId="0" ref="U1">
      <text>
        <t xml:space="preserve">[next_action_due_at] USER - type a value here.</t>
      </text>
    </comment>
    <comment authorId="0" ref="V1">
      <text>
        <t xml:space="preserve">[evidence_required] USER - type a value here. Choose from dropdown only; free typing is blocked.</t>
      </text>
    </comment>
    <comment authorId="0" ref="W1">
      <text>
        <t xml:space="preserve">[source_submission_id] USER - type a value here.</t>
      </text>
    </comment>
    <comment authorId="0" ref="X1">
      <text>
        <t xml:space="preserve">[updated_at] USER - type a value here.</t>
      </text>
    </comment>
    <comment authorId="0" ref="Y1">
      <text>
        <t xml:space="preserve">[captured_at] USER - type a value here.</t>
      </text>
    </comment>
    <comment authorId="0" ref="Z1">
      <text>
        <t xml:space="preserve">[authorised_by_actor_id] USER - choose from dropdown only (Pick from People_Roster!actor_id). Free typing is blocked.
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[finance_daily_id] AUTOMATED (ID) - do not type here.
</t>
      </text>
    </comment>
    <comment authorId="0" ref="B1">
      <text>
        <t xml:space="preserve">[business_date] USER - type a value here.</t>
      </text>
    </comment>
    <comment authorId="0" ref="C1">
      <text>
        <t xml:space="preserve">[theatre_id] USER - choose from dropdown only (Pick from Theatre_Master!theatre_id). Free typing is blocked.
</t>
      </text>
    </comment>
    <comment authorId="0" ref="D1">
      <text>
        <t xml:space="preserve">[living_billed_inr] USER - type a value here.</t>
      </text>
    </comment>
    <comment authorId="0" ref="E1">
      <text>
        <t xml:space="preserve">[living_collected_inr] USER - type a value here.</t>
      </text>
    </comment>
    <comment authorId="0" ref="F1">
      <text>
        <t xml:space="preserve">[work_billed_inr] USER - type a value here.</t>
      </text>
    </comment>
    <comment authorId="0" ref="G1">
      <text>
        <t xml:space="preserve">[work_collected_inr] USER - type a value here.</t>
      </text>
    </comment>
    <comment authorId="0" ref="H1">
      <text>
        <t xml:space="preserve">[essentials_billed_inr] USER - type a value here.</t>
      </text>
    </comment>
    <comment authorId="0" ref="I1">
      <text>
        <t xml:space="preserve">[essentials_collected_inr] USER - type a value here.</t>
      </text>
    </comment>
    <comment authorId="0" ref="J1">
      <text>
        <t xml:space="preserve">[total_billed_inr] AUTOMATED (formula) - do not type here.
Formula meaning: = sum of the three pillars billed
</t>
      </text>
    </comment>
    <comment authorId="0" ref="K1">
      <text>
        <t xml:space="preserve">[total_collected_inr] AUTOMATED (formula) - do not type here.
Formula meaning: = sum of the three pillars collected
</t>
      </text>
    </comment>
    <comment authorId="0" ref="L1">
      <text>
        <t xml:space="preserve">[current_due_inr] USER - type a value here.</t>
      </text>
    </comment>
    <comment authorId="0" ref="M1">
      <text>
        <t xml:space="preserve">[overdue_inr] USER - type a value here.</t>
      </text>
    </comment>
    <comment authorId="0" ref="N1">
      <text>
        <t xml:space="preserve">[disputed_inr] USER - type a value here.</t>
      </text>
    </comment>
    <comment authorId="0" ref="O1">
      <text>
        <t xml:space="preserve">[credited_inr] USER - type a value here.</t>
      </text>
    </comment>
    <comment authorId="0" ref="P1">
      <text>
        <t xml:space="preserve">[written_off_inr] USER - type a value here.</t>
      </text>
    </comment>
    <comment authorId="0" ref="Q1">
      <text>
        <t xml:space="preserve">[opex_mtd_inr] USER - type a value here.</t>
      </text>
    </comment>
    <comment authorId="0" ref="R1">
      <text>
        <t xml:space="preserve">[opex_forecast_inr] USER - type a value here.</t>
      </text>
    </comment>
    <comment authorId="0" ref="S1">
      <text>
        <t xml:space="preserve">[opex_cap_status] AUTOMATED (formula) - do not type here.
Formula meaning: = vs POL-OPEX-CAP (INR 60L/month)
</t>
      </text>
    </comment>
    <comment authorId="0" ref="T1">
      <text>
        <t xml:space="preserve">[cash_balance_inr] USER - type a value here.</t>
      </text>
    </comment>
    <comment authorId="0" ref="U1">
      <text>
        <t xml:space="preserve">[cash_guardrail_status] AUTOMATED (formula) - do not type here.
Formula meaning: = vs POL-CASH-GUARD (INR 150L)
</t>
      </text>
    </comment>
    <comment authorId="0" ref="V1">
      <text>
        <t xml:space="preserve">[pending_pushkar_approvals] USER - type a value here.</t>
      </text>
    </comment>
    <comment authorId="0" ref="W1">
      <text>
        <t xml:space="preserve">[settlement_exceptions] USER - type a value here.</t>
      </text>
    </comment>
    <comment authorId="0" ref="X1">
      <text>
        <t xml:space="preserve">[reconciliation_status] USER - type a value here. Choose from dropdown only; free typing is blocked.</t>
      </text>
    </comment>
    <comment authorId="0" ref="Y1">
      <text>
        <t xml:space="preserve">[cm1_inr] AUTOMATED (formula) - do not type here.
Formula meaning: = collections - opex MTD (governed CM1 placeholder; confirm definition with Finance)
</t>
      </text>
    </comment>
    <comment authorId="0" ref="Z1">
      <text>
        <t xml:space="preserve">[cm2_inr] AUTOMATED (formula) - do not type here.
Formula meaning: = CM1 placeholder pending governed CM2 add-ons; confirm definition with Finance
</t>
      </text>
    </comment>
    <comment authorId="0" ref="AA1">
      <text>
        <t xml:space="preserve">[reported_by_actor_id] USER - choose from dropdown only (Pick from People_Roster!actor_id). Free typing is blocked.
</t>
      </text>
    </comment>
    <comment authorId="0" ref="AB1">
      <text>
        <t xml:space="preserve">[reported_at] USER - type a value here.</t>
      </text>
    </comment>
    <comment authorId="0" ref="AC1">
      <text>
        <t xml:space="preserve">[source_submission_id] USER - type a value here.</t>
      </text>
    </comment>
    <comment authorId="0" ref="AD1">
      <text>
        <t xml:space="preserve">[updated_at] USER - type a value here.</t>
      </text>
    </comment>
    <comment authorId="0" ref="AE1">
      <text>
        <t xml:space="preserve">[notes] USER - type a value here.</t>
      </text>
    </comment>
  </commentList>
</comments>
</file>

<file path=xl/sharedStrings.xml><?xml version="1.0" encoding="utf-8"?>
<sst xmlns="http://schemas.openxmlformats.org/spreadsheetml/2006/main" count="607" uniqueCount="453">
  <si>
    <t>YesNo</t>
  </si>
  <si>
    <t>Rafiqi Central — Operating Data Capture (backend Google Sheet)</t>
  </si>
  <si>
    <t>TrueFalse</t>
  </si>
  <si>
    <t>SupplyModel</t>
  </si>
  <si>
    <t>OperatingModel</t>
  </si>
  <si>
    <t>ContractStatus</t>
  </si>
  <si>
    <t>ReadinessStatus</t>
  </si>
  <si>
    <t>How to use this workbook</t>
  </si>
  <si>
    <t>Role</t>
  </si>
  <si>
    <t>Language</t>
  </si>
  <si>
    <t>Certainty</t>
  </si>
  <si>
    <t>1. Import this file into Google Sheets: Google Drive -&gt; New -&gt; File upload -&gt; open the file -&gt; Google Sheets will convert it automatically (File &gt; Save as Google Sheets, or it opens natively).</t>
  </si>
  <si>
    <t>DemandStatus</t>
  </si>
  <si>
    <t>Shift</t>
  </si>
  <si>
    <t>2. Only type into YELLOW cells. These are the fields a person must fill in.</t>
  </si>
  <si>
    <t>3. BLUE cells are dropdown look-ups to another tab (e.g. choosing a theatre_id). Click the cell and pick from the list — free typing is blocked by data validation.</t>
  </si>
  <si>
    <t>source id</t>
  </si>
  <si>
    <t>4. GREEN cells are fully automated. They contain formulas (IDs, totals, ratios, ages, freshness, overdue flags). Never type into a green cell — leave it alone and it will fill itself once you complete the yellow cells in that row.</t>
  </si>
  <si>
    <t>5. Every dropdown (yellow with a list, and every blue lookup cell) only accepts values from its governed list — Data Validation is set to reject any manual entry that isn't on the list.</t>
  </si>
  <si>
    <t>PolicyStatus</t>
  </si>
  <si>
    <t>6. Hover over any column header to see a note explaining exactly what belongs in that column and, for automated columns, the formula logic.</t>
  </si>
  <si>
    <t>ApprovedBy</t>
  </si>
  <si>
    <t>FreshnessStatus</t>
  </si>
  <si>
    <t>7. Fill masters first (Theatre_Master, Studio_Master, People_Roster, Source_Registry, Policy_Registry) before the operating log tabs, since the log tabs look up IDs from the masters.</t>
  </si>
  <si>
    <t>TriggerType</t>
  </si>
  <si>
    <t>Domain</t>
  </si>
  <si>
    <t>8. Do not rename tabs or reorder columns — the formulas and dropdowns reference exact tab and column positions.</t>
  </si>
  <si>
    <t>Severity</t>
  </si>
  <si>
    <t>IncidentState</t>
  </si>
  <si>
    <t>Colour legend</t>
  </si>
  <si>
    <t>source name</t>
  </si>
  <si>
    <t>ActionState</t>
  </si>
  <si>
    <t>ApprovalTier</t>
  </si>
  <si>
    <t xml:space="preserve">  </t>
  </si>
  <si>
    <t>VerificationResult</t>
  </si>
  <si>
    <t>Decision</t>
  </si>
  <si>
    <t>google sheet id</t>
  </si>
  <si>
    <t>ApproverRole</t>
  </si>
  <si>
    <t>policy id</t>
  </si>
  <si>
    <t>User fills (typed)</t>
  </si>
  <si>
    <t>VerificationStatus</t>
  </si>
  <si>
    <t>LinkedType</t>
  </si>
  <si>
    <t>tab name</t>
  </si>
  <si>
    <t>EvidenceType</t>
  </si>
  <si>
    <t>ReconciliationStatus</t>
  </si>
  <si>
    <t>DecisionType</t>
  </si>
  <si>
    <t>RetentionClass</t>
  </si>
  <si>
    <t>User fills (dropdown lookup to another tab)</t>
  </si>
  <si>
    <t>TabNameList</t>
  </si>
  <si>
    <t>owner role</t>
  </si>
  <si>
    <t>Yes</t>
  </si>
  <si>
    <t>TRUE</t>
  </si>
  <si>
    <t>policy name</t>
  </si>
  <si>
    <t>FONO</t>
  </si>
  <si>
    <t>Managed</t>
  </si>
  <si>
    <t>Fully automated (formula — never type here)</t>
  </si>
  <si>
    <t>expected cadence minutes</t>
  </si>
  <si>
    <t>Draft</t>
  </si>
  <si>
    <t>Tab-by-tab: who fills what</t>
  </si>
  <si>
    <t>Not ready</t>
  </si>
  <si>
    <t>Demand JCO</t>
  </si>
  <si>
    <t>policy value</t>
  </si>
  <si>
    <t>last source update at</t>
  </si>
  <si>
    <t>Tab</t>
  </si>
  <si>
    <t>Hindi</t>
  </si>
  <si>
    <t>Confirmed</t>
  </si>
  <si>
    <t>Fill order</t>
  </si>
  <si>
    <t>Open</t>
  </si>
  <si>
    <t>Day</t>
  </si>
  <si>
    <t>Active</t>
  </si>
  <si>
    <t>last ingested at</t>
  </si>
  <si>
    <t>User columns</t>
  </si>
  <si>
    <t>Sachin</t>
  </si>
  <si>
    <t>unit</t>
  </si>
  <si>
    <t>Current</t>
  </si>
  <si>
    <t>Hourly</t>
  </si>
  <si>
    <t>Dropdown-lookup columns</t>
  </si>
  <si>
    <t>freshness status</t>
  </si>
  <si>
    <t>Automated columns</t>
  </si>
  <si>
    <t>effective from</t>
  </si>
  <si>
    <t>Living</t>
  </si>
  <si>
    <t>notes</t>
  </si>
  <si>
    <t>What it's for</t>
  </si>
  <si>
    <t>Critical</t>
  </si>
  <si>
    <t>Detected</t>
  </si>
  <si>
    <t>approved by</t>
  </si>
  <si>
    <t>Source_Registry</t>
  </si>
  <si>
    <t>Auto</t>
  </si>
  <si>
    <t>Verified</t>
  </si>
  <si>
    <t>Approved</t>
  </si>
  <si>
    <t>Pushkar</t>
  </si>
  <si>
    <t>status</t>
  </si>
  <si>
    <t>Pending</t>
  </si>
  <si>
    <t>Incident</t>
  </si>
  <si>
    <t>Photo</t>
  </si>
  <si>
    <t>Reconciled</t>
  </si>
  <si>
    <t>Pricing</t>
  </si>
  <si>
    <t>Standard</t>
  </si>
  <si>
    <t>No</t>
  </si>
  <si>
    <t>Registers every capture source (e.g. WhatsApp bot) and tracks whether its data is current.</t>
  </si>
  <si>
    <t>FALSE</t>
  </si>
  <si>
    <t>SP</t>
  </si>
  <si>
    <t>Partner-operated</t>
  </si>
  <si>
    <t>Negotiation</t>
  </si>
  <si>
    <t>Policy_Registry</t>
  </si>
  <si>
    <t>In progress</t>
  </si>
  <si>
    <t>Supply JCO</t>
  </si>
  <si>
    <t>English</t>
  </si>
  <si>
    <t>Partially matched</t>
  </si>
  <si>
    <t>Night</t>
  </si>
  <si>
    <t>Retired</t>
  </si>
  <si>
    <t>Stale</t>
  </si>
  <si>
    <t>Governed policy values (caps, guardrails, cadences) referenced by formulas across the workbook.</t>
  </si>
  <si>
    <t>Incident-satisfied</t>
  </si>
  <si>
    <t>Work</t>
  </si>
  <si>
    <t>High</t>
  </si>
  <si>
    <t>Theatre_Master</t>
  </si>
  <si>
    <t>Proposed</t>
  </si>
  <si>
    <t>Result not achieved</t>
  </si>
  <si>
    <t>Rejected</t>
  </si>
  <si>
    <t>Action</t>
  </si>
  <si>
    <t>Document reference</t>
  </si>
  <si>
    <t>Master list of operating theatres (regions).</t>
  </si>
  <si>
    <t>Financial exception</t>
  </si>
  <si>
    <t>Restricted</t>
  </si>
  <si>
    <t>Studio_Master</t>
  </si>
  <si>
    <t>Signed</t>
  </si>
  <si>
    <t>Ready</t>
  </si>
  <si>
    <t>EAE</t>
  </si>
  <si>
    <t>Tamil</t>
  </si>
  <si>
    <t>Prospect</t>
  </si>
  <si>
    <t>Matched</t>
  </si>
  <si>
    <t>Rotational</t>
  </si>
  <si>
    <t>Missing</t>
  </si>
  <si>
    <t>Essentials</t>
  </si>
  <si>
    <t>Resolved</t>
  </si>
  <si>
    <t>Master list of Studios (properties) with capacity, cost and readiness.</t>
  </si>
  <si>
    <t>Auto-approved</t>
  </si>
  <si>
    <t>People_Roster</t>
  </si>
  <si>
    <t>Evidence insufficient</t>
  </si>
  <si>
    <t>More info requested</t>
  </si>
  <si>
    <t>Geo verification</t>
  </si>
  <si>
    <t>Exception</t>
  </si>
  <si>
    <t>Master list of people (actors) and their roles, shifts and reporting line.</t>
  </si>
  <si>
    <t>Deposit</t>
  </si>
  <si>
    <t>Legal hold</t>
  </si>
  <si>
    <t>Enterprise_Demand</t>
  </si>
  <si>
    <t>Blocked</t>
  </si>
  <si>
    <t>Work operator</t>
  </si>
  <si>
    <t>Telugu</t>
  </si>
  <si>
    <t>Closed</t>
  </si>
  <si>
    <t>Unknown</t>
  </si>
  <si>
    <t>Finance</t>
  </si>
  <si>
    <t>source note</t>
  </si>
  <si>
    <t>Enterprise headcount demand — open roles, matched headcount, activation timing.</t>
  </si>
  <si>
    <t>Escalated</t>
  </si>
  <si>
    <t>updated at</t>
  </si>
  <si>
    <t>Member_Activation</t>
  </si>
  <si>
    <t>Quarantined</t>
  </si>
  <si>
    <t>Nest or Member roster</t>
  </si>
  <si>
    <t>Nia-funded capex</t>
  </si>
  <si>
    <t>Terminated</t>
  </si>
  <si>
    <t>Essentials operator</t>
  </si>
  <si>
    <t>Kannada</t>
  </si>
  <si>
    <t>Cancelled</t>
  </si>
  <si>
    <t>One row per Member activation into a Nest, with billing and verification.</t>
  </si>
  <si>
    <t>People or execution</t>
  </si>
  <si>
    <t>Reopened</t>
  </si>
  <si>
    <t>Hourly_Heartbeat</t>
  </si>
  <si>
    <t>Assigned</t>
  </si>
  <si>
    <t>Collection or settlement reference</t>
  </si>
  <si>
    <t>Studio commercial terms</t>
  </si>
  <si>
    <t>Marathi</t>
  </si>
  <si>
    <t>Data or system</t>
  </si>
  <si>
    <t>Hourly operating check-in captured from each active-shift person.</t>
  </si>
  <si>
    <t>Studio partner or Enterprise confirmation</t>
  </si>
  <si>
    <t>Payout exception</t>
  </si>
  <si>
    <t>Incident_Log</t>
  </si>
  <si>
    <t>RM</t>
  </si>
  <si>
    <t>Bengali</t>
  </si>
  <si>
    <t>Proof submitted</t>
  </si>
  <si>
    <t>Governed system event</t>
  </si>
  <si>
    <t>Studio release</t>
  </si>
  <si>
    <t>Theatre Lead</t>
  </si>
  <si>
    <t>Gujarati</t>
  </si>
  <si>
    <t>Every incident reported, with severity, owner, due date and resolution.</t>
  </si>
  <si>
    <t>Action_Log</t>
  </si>
  <si>
    <t>Cap or guardrail exception</t>
  </si>
  <si>
    <t>Ops Orchestrator</t>
  </si>
  <si>
    <t>Admin</t>
  </si>
  <si>
    <t>Actions created from incidents, tracked through the full approval/verification lifecycle.</t>
  </si>
  <si>
    <t>Evidence_Log</t>
  </si>
  <si>
    <t>Approval_Log</t>
  </si>
  <si>
    <t>Living_Hourly</t>
  </si>
  <si>
    <t>Proof attached to incidents or actions (protected links only — never raw files/PII).</t>
  </si>
  <si>
    <t>Work_Hourly</t>
  </si>
  <si>
    <t>Essentials_Hourly</t>
  </si>
  <si>
    <t>Finance_Daily</t>
  </si>
  <si>
    <t>Pushkar/Sachin approval decisions for pricing, financial or governance exceptions.</t>
  </si>
  <si>
    <t>Hourly Living-pillar operating detail per Studio (occupancy, billing, blockers).</t>
  </si>
  <si>
    <t>Hourly Work-pillar operating detail per demand (headcount, billing, exceptions).</t>
  </si>
  <si>
    <t>Hourly Essentials-pillar operating detail (orders, stockouts, billing, margin).</t>
  </si>
  <si>
    <t>Daily Finance reconciliation across all three pillars, opex, cash and CM.</t>
  </si>
  <si>
    <t>Notes on this template</t>
  </si>
  <si>
    <t>The tab and field structure follows the Rafiqi Central operating-data contract used by the dashboard (contracts.ts) and the WhatsApp operating-data bot specification.</t>
  </si>
  <si>
    <t>Fields marked RESTRICTED in their column note (e.g. address, wage, phone hash, evidence URL) hold sensitive data — restrict sharing/view access on those columns in Google Sheets once imported.</t>
  </si>
  <si>
    <t>IDs, ages, ratios, totals, freshness and overdue flags are computed with formulas so no one has to calculate or type them by hand.</t>
  </si>
  <si>
    <t>CM1/CM2 in Finance_Daily are placeholders using collections minus opex MTD — confirm the governed CM definition with Finance before treating them as final.</t>
  </si>
  <si>
    <t>theatre id</t>
  </si>
  <si>
    <t>theatre name</t>
  </si>
  <si>
    <t>theatre code</t>
  </si>
  <si>
    <t>active</t>
  </si>
  <si>
    <t>lead actor id</t>
  </si>
  <si>
    <t>geography</t>
  </si>
  <si>
    <t>studio id</t>
  </si>
  <si>
    <t>studio name</t>
  </si>
  <si>
    <t>address</t>
  </si>
  <si>
    <t>latitude</t>
  </si>
  <si>
    <t>longitude</t>
  </si>
  <si>
    <t>operating model</t>
  </si>
  <si>
    <t>supply model</t>
  </si>
  <si>
    <t>studio partner id</t>
  </si>
  <si>
    <t>contract status</t>
  </si>
  <si>
    <t>readiness status</t>
  </si>
  <si>
    <t>contracted nests</t>
  </si>
  <si>
    <t>activation ready nests</t>
  </si>
  <si>
    <t>monthly partner cost inr</t>
  </si>
  <si>
    <t>refundable deposit inr</t>
  </si>
  <si>
    <t>nonrefundable deposit inr</t>
  </si>
  <si>
    <t>nia capex inr</t>
  </si>
  <si>
    <t>launch working capital inr</t>
  </si>
  <si>
    <t>capital per ready nest inr</t>
  </si>
  <si>
    <t>actor id</t>
  </si>
  <si>
    <t>display name</t>
  </si>
  <si>
    <t>whatsapp phone hash</t>
  </si>
  <si>
    <t>role</t>
  </si>
  <si>
    <t>manager actor id</t>
  </si>
  <si>
    <t>active shift</t>
  </si>
  <si>
    <t>shift start at</t>
  </si>
  <si>
    <t>shift end at</t>
  </si>
  <si>
    <t>language</t>
  </si>
  <si>
    <t>last heartbeat at</t>
  </si>
  <si>
    <t>next heartbeat due at</t>
  </si>
  <si>
    <t>demand id</t>
  </si>
  <si>
    <t>enterprise id</t>
  </si>
  <si>
    <t>enterprise name</t>
  </si>
  <si>
    <t>plant id</t>
  </si>
  <si>
    <t>plant name</t>
  </si>
  <si>
    <t>role required</t>
  </si>
  <si>
    <t>skill required</t>
  </si>
  <si>
    <t>shift</t>
  </si>
  <si>
    <t>headcount required</t>
  </si>
  <si>
    <t>headcount matched</t>
  </si>
  <si>
    <t>headcount remaining</t>
  </si>
  <si>
    <t>wage inr</t>
  </si>
  <si>
    <t>activation required at</t>
  </si>
  <si>
    <t>certainty</t>
  </si>
  <si>
    <t>owner actor id</t>
  </si>
  <si>
    <t>opened at</t>
  </si>
  <si>
    <t>activation id</t>
  </si>
  <si>
    <t>age hours</t>
  </si>
  <si>
    <t>member token</t>
  </si>
  <si>
    <t>source submission id</t>
  </si>
  <si>
    <t>activated at</t>
  </si>
  <si>
    <t>nest id</t>
  </si>
  <si>
    <t>work assignment id</t>
  </si>
  <si>
    <t>membership billed inr</t>
  </si>
  <si>
    <t>membership collected inr</t>
  </si>
  <si>
    <t>collection leakage inr</t>
  </si>
  <si>
    <t>activation evidence url</t>
  </si>
  <si>
    <t>verified at</t>
  </si>
  <si>
    <t>verified by</t>
  </si>
  <si>
    <t>verification status</t>
  </si>
  <si>
    <t>heartbeat id</t>
  </si>
  <si>
    <t>window start at</t>
  </si>
  <si>
    <t>window end at</t>
  </si>
  <si>
    <t>captured at</t>
  </si>
  <si>
    <t>trigger type</t>
  </si>
  <si>
    <t>new or changed demand</t>
  </si>
  <si>
    <t>open headcount</t>
  </si>
  <si>
    <t>matched headcount</t>
  </si>
  <si>
    <t>occupied nests</t>
  </si>
  <si>
    <t>activations last hour</t>
  </si>
  <si>
    <t>membership ends last hour</t>
  </si>
  <si>
    <t>open service requests</t>
  </si>
  <si>
    <t>essentials orders</t>
  </si>
  <si>
    <t>essentials stockouts</t>
  </si>
  <si>
    <t>work members joined</t>
  </si>
  <si>
    <t>attendance exceptions</t>
  </si>
  <si>
    <t>work billed inr</t>
  </si>
  <si>
    <t>work collected inr</t>
  </si>
  <si>
    <t>essentials billed inr</t>
  </si>
  <si>
    <t>essentials collected inr</t>
  </si>
  <si>
    <t>living billed inr</t>
  </si>
  <si>
    <t>living collected inr</t>
  </si>
  <si>
    <t>primary blocker</t>
  </si>
  <si>
    <t>next action</t>
  </si>
  <si>
    <t>next action owner actor id</t>
  </si>
  <si>
    <t>next action due at</t>
  </si>
  <si>
    <t>incident id</t>
  </si>
  <si>
    <t>domain</t>
  </si>
  <si>
    <t>incident type</t>
  </si>
  <si>
    <t>event at</t>
  </si>
  <si>
    <t>short description</t>
  </si>
  <si>
    <t>impacted members</t>
  </si>
  <si>
    <t>impacted nests</t>
  </si>
  <si>
    <t>amount at risk inr</t>
  </si>
  <si>
    <t>severity</t>
  </si>
  <si>
    <t>severity reason</t>
  </si>
  <si>
    <t>due at</t>
  </si>
  <si>
    <t>action required</t>
  </si>
  <si>
    <t>approval required</t>
  </si>
  <si>
    <t>approver</t>
  </si>
  <si>
    <t>duplicate key</t>
  </si>
  <si>
    <t>overdue status</t>
  </si>
  <si>
    <t>state</t>
  </si>
  <si>
    <t>resolved at</t>
  </si>
  <si>
    <t>resolution notes</t>
  </si>
  <si>
    <t>reported by actor id</t>
  </si>
  <si>
    <t>reported at</t>
  </si>
  <si>
    <t>evidence required</t>
  </si>
  <si>
    <t>action id</t>
  </si>
  <si>
    <t>operating objective</t>
  </si>
  <si>
    <t>expected metric</t>
  </si>
  <si>
    <t>baseline value</t>
  </si>
  <si>
    <t>target value</t>
  </si>
  <si>
    <t>expected financial impact inr</t>
  </si>
  <si>
    <t>confidence</t>
  </si>
  <si>
    <t>required evidence</t>
  </si>
  <si>
    <t>approval tier</t>
  </si>
  <si>
    <t>proposed at</t>
  </si>
  <si>
    <t>approved at</t>
  </si>
  <si>
    <t>assigned at</t>
  </si>
  <si>
    <t>in progress at</t>
  </si>
  <si>
    <t>proof submitted at</t>
  </si>
  <si>
    <t>proof evidence id</t>
  </si>
  <si>
    <t>verification result</t>
  </si>
  <si>
    <t>closed at</t>
  </si>
  <si>
    <t>reopened at</t>
  </si>
  <si>
    <t>reopen reason</t>
  </si>
  <si>
    <t>escalated at</t>
  </si>
  <si>
    <t>evidence id</t>
  </si>
  <si>
    <t>linked type</t>
  </si>
  <si>
    <t>linked id</t>
  </si>
  <si>
    <t>evidence type</t>
  </si>
  <si>
    <t>protected url</t>
  </si>
  <si>
    <t>uploaded by actor id</t>
  </si>
  <si>
    <t>uploaded at</t>
  </si>
  <si>
    <t>description</t>
  </si>
  <si>
    <t>geo lat</t>
  </si>
  <si>
    <t>geo lng</t>
  </si>
  <si>
    <t>rejected reason</t>
  </si>
  <si>
    <t>retention class</t>
  </si>
  <si>
    <t>approval id</t>
  </si>
  <si>
    <t>linked action id</t>
  </si>
  <si>
    <t>decision type</t>
  </si>
  <si>
    <t>amount inr</t>
  </si>
  <si>
    <t>current terms</t>
  </si>
  <si>
    <t>proposed terms</t>
  </si>
  <si>
    <t>business reason</t>
  </si>
  <si>
    <t>expected result</t>
  </si>
  <si>
    <t>approver role</t>
  </si>
  <si>
    <t>approver actor id</t>
  </si>
  <si>
    <t>decision</t>
  </si>
  <si>
    <t>decision reason</t>
  </si>
  <si>
    <t>decided at</t>
  </si>
  <si>
    <t>living hourly id</t>
  </si>
  <si>
    <t>occupancy ratio</t>
  </si>
  <si>
    <t>billed arpu</t>
  </si>
  <si>
    <t>safety incident flag</t>
  </si>
  <si>
    <t>utility incident flag</t>
  </si>
  <si>
    <t>readiness blocker</t>
  </si>
  <si>
    <t>studio partner blocker</t>
  </si>
  <si>
    <t>compliance blocker</t>
  </si>
  <si>
    <t>work hourly id</t>
  </si>
  <si>
    <t>members joined last hour</t>
  </si>
  <si>
    <t>work exits</t>
  </si>
  <si>
    <t>redeployment needed</t>
  </si>
  <si>
    <t>direct delivery cost inr</t>
  </si>
  <si>
    <t>essentials hourly id</t>
  </si>
  <si>
    <t>eligible members</t>
  </si>
  <si>
    <t>buying members</t>
  </si>
  <si>
    <t>orders placed</t>
  </si>
  <si>
    <t>orders fulfilled</t>
  </si>
  <si>
    <t>current stockouts</t>
  </si>
  <si>
    <t>zero sale skus</t>
  </si>
  <si>
    <t>product quality incident flag</t>
  </si>
  <si>
    <t>product cogs inr</t>
  </si>
  <si>
    <t>direct fulfilment cost inr</t>
  </si>
  <si>
    <t>member savings inr</t>
  </si>
  <si>
    <t>nia margin inr</t>
  </si>
  <si>
    <t>authorised by actor id</t>
  </si>
  <si>
    <t>finance daily id</t>
  </si>
  <si>
    <t>business date</t>
  </si>
  <si>
    <t>total billed inr</t>
  </si>
  <si>
    <t>total collected inr</t>
  </si>
  <si>
    <t>current due inr</t>
  </si>
  <si>
    <t>overdue inr</t>
  </si>
  <si>
    <t>disputed inr</t>
  </si>
  <si>
    <t>credited inr</t>
  </si>
  <si>
    <t>written off inr</t>
  </si>
  <si>
    <t>opex mtd inr</t>
  </si>
  <si>
    <t>opex forecast inr</t>
  </si>
  <si>
    <t>opex cap status</t>
  </si>
  <si>
    <t>cash balance inr</t>
  </si>
  <si>
    <t>cash guardrail status</t>
  </si>
  <si>
    <t>pending pushkar approvals</t>
  </si>
  <si>
    <t>settlement exceptions</t>
  </si>
  <si>
    <t>reconciliation status</t>
  </si>
  <si>
    <t>cm1 inr</t>
  </si>
  <si>
    <t>cm2 inr</t>
  </si>
  <si>
    <t>Metric</t>
  </si>
  <si>
    <t>Value</t>
  </si>
  <si>
    <t>Unit</t>
  </si>
  <si>
    <t>Last Updated</t>
  </si>
  <si>
    <t>Monthly_CM_Target</t>
  </si>
  <si>
    <t>INR</t>
  </si>
  <si>
    <t>Month_End_Projection</t>
  </si>
  <si>
    <t>Demand_Contracted</t>
  </si>
  <si>
    <t>Members</t>
  </si>
  <si>
    <t>Capacity_Live</t>
  </si>
  <si>
    <t>Members_Active</t>
  </si>
  <si>
    <t>Attach</t>
  </si>
  <si>
    <t>Percent</t>
  </si>
  <si>
    <t>ARPU</t>
  </si>
  <si>
    <t>CM</t>
  </si>
  <si>
    <t>business_date</t>
  </si>
  <si>
    <t>actual</t>
  </si>
  <si>
    <t>2026-07-21</t>
  </si>
  <si>
    <t>1234</t>
  </si>
  <si>
    <t>id</t>
  </si>
  <si>
    <t>title</t>
  </si>
  <si>
    <t>where</t>
  </si>
  <si>
    <t>impact</t>
  </si>
  <si>
    <t>detail</t>
  </si>
  <si>
    <t>owner</t>
  </si>
  <si>
    <t>next</t>
  </si>
  <si>
    <t>lane</t>
  </si>
  <si>
    <t>stalledBlocks</t>
  </si>
  <si>
    <t>snapshot_time</t>
  </si>
  <si>
    <t>cm</t>
  </si>
  <si>
    <t>contracted</t>
  </si>
  <si>
    <t>membersActive</t>
  </si>
  <si>
    <t>attach</t>
  </si>
  <si>
    <t>closures</t>
  </si>
  <si>
    <t>stockoutsClearedStudios</t>
  </si>
  <si>
    <t>stalledTheatre</t>
  </si>
  <si>
    <t>staleOwner</t>
  </si>
  <si>
    <t>staleHours</t>
  </si>
  <si>
    <t>2026-07-21T12:00:07.671Z</t>
  </si>
  <si>
    <t>123</t>
  </si>
  <si>
    <t>12354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</si>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</sst>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color theme="1"/>
      <name val="Calibri"/>
      <scheme val="minor"/>
    </font>
    <font>
      <b/>
      <sz val="16.0"/>
      <color rgb="FF1F3864"/>
      <name val="Arial"/>
    </font>
    <font>
      <b/>
      <sz val="12.0"/>
      <color rgb="FF1F3864"/>
      <name val="Arial"/>
    </font>
    <font>
      <sz val="10.0"/>
      <color theme="1"/>
      <name val="Arial"/>
    </font>
    <font>
      <b/>
      <sz val="10.0"/>
      <color rgb="FFFFFFFF"/>
      <name val="Arial"/>
    </font>
    <font>
      <sz val="11.0"/>
      <color theme="1"/>
      <name val="Calibri"/>
    </font>
    <font>
      <b/>
      <sz val="10.0"/>
      <color theme="1"/>
      <name val="Arial"/>
    </font>
    <font>
      <i/>
      <sz val="10.0"/>
      <color rgb="FF375623"/>
      <name val="Arial"/>
    </font>
    <font>
      <sz val="10.0"/>
      <color rgb="FF7F6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top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3" fontId="6" numFmtId="0" xfId="0" applyAlignment="1" applyBorder="1" applyFill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4" fontId="6" numFmtId="0" xfId="0" applyAlignment="1" applyBorder="1" applyFill="1" applyFont="1">
      <alignment shrinkToFit="0" vertical="bottom" wrapText="0"/>
    </xf>
    <xf borderId="1" fillId="5" fontId="6" numFmtId="0" xfId="0" applyAlignment="1" applyBorder="1" applyFill="1" applyFont="1">
      <alignment shrinkToFit="0" vertical="bottom" wrapText="0"/>
    </xf>
    <xf borderId="1" fillId="0" fontId="7" numFmtId="0" xfId="0" applyAlignment="1" applyBorder="1" applyFont="1">
      <alignment shrinkToFit="0" vertical="bottom" wrapText="0"/>
    </xf>
    <xf borderId="1" fillId="0" fontId="6" numFmtId="0" xfId="0" applyAlignment="1" applyBorder="1" applyFont="1">
      <alignment horizontal="center" shrinkToFit="0" vertical="bottom" wrapText="0"/>
    </xf>
    <xf borderId="1" fillId="0" fontId="6" numFmtId="0" xfId="0" applyAlignment="1" applyBorder="1" applyFont="1">
      <alignment shrinkToFit="0" vertical="bottom" wrapText="1"/>
    </xf>
    <xf borderId="1" fillId="5" fontId="8" numFmtId="0" xfId="0" applyAlignment="1" applyBorder="1" applyFont="1">
      <alignment horizontal="left" shrinkToFit="0" vertical="center" wrapText="0"/>
    </xf>
    <xf borderId="1" fillId="3" fontId="9" numFmtId="0" xfId="0" applyAlignment="1" applyBorder="1" applyFont="1">
      <alignment horizontal="left" shrinkToFit="0" vertical="center" wrapText="0"/>
    </xf>
    <xf borderId="1" fillId="4" fontId="8" numFmtId="0" xfId="0" applyAlignment="1" applyBorder="1" applyFont="1">
      <alignment horizontal="left" shrinkToFit="0" vertical="center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4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5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6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7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8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9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0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11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12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13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14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15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drawing" Target="../drawings/drawing18.xml"/><Relationship Id="rId3" Type="http://schemas.openxmlformats.org/officeDocument/2006/relationships/vmlDrawing" Target="../drawings/vmlDrawing16.v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2" width="22.0"/>
    <col customWidth="1" min="3" max="3" width="14.0"/>
    <col customWidth="1" min="4" max="4" width="16.0"/>
    <col customWidth="1" min="5" max="5" width="14.0"/>
    <col customWidth="1" min="6" max="6" width="60.0"/>
    <col customWidth="1" min="7" max="26" width="8.71"/>
  </cols>
  <sheetData>
    <row r="1">
      <c r="A1" s="2" t="s">
        <v>1</v>
      </c>
    </row>
    <row r="3">
      <c r="A3" s="3" t="s">
        <v>7</v>
      </c>
    </row>
    <row r="4" ht="27.75" customHeight="1">
      <c r="A4" s="4" t="s">
        <v>11</v>
      </c>
    </row>
    <row r="5" ht="27.75" customHeight="1">
      <c r="A5" s="4" t="s">
        <v>14</v>
      </c>
    </row>
    <row r="6" ht="27.75" customHeight="1">
      <c r="A6" s="4" t="s">
        <v>15</v>
      </c>
    </row>
    <row r="7" ht="27.75" customHeight="1">
      <c r="A7" s="4" t="s">
        <v>17</v>
      </c>
    </row>
    <row r="8" ht="27.75" customHeight="1">
      <c r="A8" s="4" t="s">
        <v>18</v>
      </c>
    </row>
    <row r="9" ht="27.75" customHeight="1">
      <c r="A9" s="4" t="s">
        <v>20</v>
      </c>
    </row>
    <row r="10" ht="27.75" customHeight="1">
      <c r="A10" s="4" t="s">
        <v>23</v>
      </c>
    </row>
    <row r="11" ht="27.75" customHeight="1">
      <c r="A11" s="4" t="s">
        <v>26</v>
      </c>
    </row>
    <row r="13">
      <c r="A13" s="3" t="s">
        <v>29</v>
      </c>
    </row>
    <row r="14">
      <c r="A14" s="6" t="s">
        <v>33</v>
      </c>
      <c r="B14" s="7" t="s">
        <v>39</v>
      </c>
    </row>
    <row r="15">
      <c r="A15" s="8" t="s">
        <v>33</v>
      </c>
      <c r="B15" s="7" t="s">
        <v>47</v>
      </c>
    </row>
    <row r="16">
      <c r="A16" s="9" t="s">
        <v>33</v>
      </c>
      <c r="B16" s="7" t="s">
        <v>55</v>
      </c>
    </row>
    <row r="18">
      <c r="A18" s="3" t="s">
        <v>58</v>
      </c>
    </row>
    <row r="19">
      <c r="A19" s="5" t="s">
        <v>63</v>
      </c>
      <c r="B19" s="5" t="s">
        <v>66</v>
      </c>
      <c r="C19" s="5" t="s">
        <v>71</v>
      </c>
      <c r="D19" s="5" t="s">
        <v>76</v>
      </c>
      <c r="E19" s="5" t="s">
        <v>78</v>
      </c>
      <c r="F19" s="5" t="s">
        <v>82</v>
      </c>
    </row>
    <row r="20">
      <c r="A20" s="10" t="s">
        <v>86</v>
      </c>
      <c r="B20" s="11">
        <v>1.0</v>
      </c>
      <c r="C20" s="11">
        <v>8.0</v>
      </c>
      <c r="D20" s="11">
        <v>0.0</v>
      </c>
      <c r="E20" s="11">
        <v>2.0</v>
      </c>
      <c r="F20" s="12" t="s">
        <v>99</v>
      </c>
    </row>
    <row r="21" ht="15.75" customHeight="1">
      <c r="A21" s="10" t="s">
        <v>104</v>
      </c>
      <c r="B21" s="11">
        <v>2.0</v>
      </c>
      <c r="C21" s="11">
        <v>8.0</v>
      </c>
      <c r="D21" s="11">
        <v>0.0</v>
      </c>
      <c r="E21" s="11">
        <v>1.0</v>
      </c>
      <c r="F21" s="12" t="s">
        <v>112</v>
      </c>
    </row>
    <row r="22" ht="15.75" customHeight="1">
      <c r="A22" s="10" t="s">
        <v>116</v>
      </c>
      <c r="B22" s="11">
        <v>3.0</v>
      </c>
      <c r="C22" s="11">
        <v>5.0</v>
      </c>
      <c r="D22" s="11">
        <v>2.0</v>
      </c>
      <c r="E22" s="11">
        <v>1.0</v>
      </c>
      <c r="F22" s="12" t="s">
        <v>122</v>
      </c>
    </row>
    <row r="23" ht="15.75" customHeight="1">
      <c r="A23" s="10" t="s">
        <v>125</v>
      </c>
      <c r="B23" s="11">
        <v>4.0</v>
      </c>
      <c r="C23" s="11">
        <v>18.0</v>
      </c>
      <c r="D23" s="11">
        <v>2.0</v>
      </c>
      <c r="E23" s="11">
        <v>2.0</v>
      </c>
      <c r="F23" s="12" t="s">
        <v>136</v>
      </c>
    </row>
    <row r="24" ht="15.75" customHeight="1">
      <c r="A24" s="10" t="s">
        <v>138</v>
      </c>
      <c r="B24" s="11">
        <v>5.0</v>
      </c>
      <c r="C24" s="11">
        <v>9.0</v>
      </c>
      <c r="D24" s="11">
        <v>3.0</v>
      </c>
      <c r="E24" s="11">
        <v>2.0</v>
      </c>
      <c r="F24" s="12" t="s">
        <v>143</v>
      </c>
    </row>
    <row r="25" ht="15.75" customHeight="1">
      <c r="A25" s="10" t="s">
        <v>146</v>
      </c>
      <c r="B25" s="11">
        <v>6.0</v>
      </c>
      <c r="C25" s="11">
        <v>18.0</v>
      </c>
      <c r="D25" s="11">
        <v>1.0</v>
      </c>
      <c r="E25" s="11">
        <v>3.0</v>
      </c>
      <c r="F25" s="12" t="s">
        <v>154</v>
      </c>
    </row>
    <row r="26" ht="15.75" customHeight="1">
      <c r="A26" s="10" t="s">
        <v>157</v>
      </c>
      <c r="B26" s="11">
        <v>7.0</v>
      </c>
      <c r="C26" s="11">
        <v>11.0</v>
      </c>
      <c r="D26" s="11">
        <v>4.0</v>
      </c>
      <c r="E26" s="11">
        <v>2.0</v>
      </c>
      <c r="F26" s="12" t="s">
        <v>165</v>
      </c>
    </row>
    <row r="27" ht="15.75" customHeight="1">
      <c r="A27" s="10" t="s">
        <v>168</v>
      </c>
      <c r="B27" s="11">
        <v>8.0</v>
      </c>
      <c r="C27" s="11">
        <v>27.0</v>
      </c>
      <c r="D27" s="11">
        <v>4.0</v>
      </c>
      <c r="E27" s="11">
        <v>2.0</v>
      </c>
      <c r="F27" s="12" t="s">
        <v>174</v>
      </c>
    </row>
    <row r="28" ht="15.75" customHeight="1">
      <c r="A28" s="10" t="s">
        <v>177</v>
      </c>
      <c r="B28" s="11">
        <v>9.0</v>
      </c>
      <c r="C28" s="11">
        <v>21.0</v>
      </c>
      <c r="D28" s="11">
        <v>5.0</v>
      </c>
      <c r="E28" s="11">
        <v>4.0</v>
      </c>
      <c r="F28" s="12" t="s">
        <v>185</v>
      </c>
    </row>
    <row r="29" ht="15.75" customHeight="1">
      <c r="A29" s="10" t="s">
        <v>186</v>
      </c>
      <c r="B29" s="11">
        <v>10.0</v>
      </c>
      <c r="C29" s="11">
        <v>23.0</v>
      </c>
      <c r="D29" s="11">
        <v>5.0</v>
      </c>
      <c r="E29" s="11">
        <v>1.0</v>
      </c>
      <c r="F29" s="12" t="s">
        <v>190</v>
      </c>
    </row>
    <row r="30" ht="15.75" customHeight="1">
      <c r="A30" s="10" t="s">
        <v>191</v>
      </c>
      <c r="B30" s="11">
        <v>11.0</v>
      </c>
      <c r="C30" s="11">
        <v>13.0</v>
      </c>
      <c r="D30" s="11">
        <v>1.0</v>
      </c>
      <c r="E30" s="11">
        <v>1.0</v>
      </c>
      <c r="F30" s="12" t="s">
        <v>194</v>
      </c>
    </row>
    <row r="31" ht="15.75" customHeight="1">
      <c r="A31" s="10" t="s">
        <v>192</v>
      </c>
      <c r="B31" s="11">
        <v>12.0</v>
      </c>
      <c r="C31" s="11">
        <v>12.0</v>
      </c>
      <c r="D31" s="11">
        <v>2.0</v>
      </c>
      <c r="E31" s="11">
        <v>1.0</v>
      </c>
      <c r="F31" s="12" t="s">
        <v>198</v>
      </c>
    </row>
    <row r="32" ht="15.75" customHeight="1">
      <c r="A32" s="10" t="s">
        <v>193</v>
      </c>
      <c r="B32" s="11">
        <v>13.0</v>
      </c>
      <c r="C32" s="11">
        <v>18.0</v>
      </c>
      <c r="D32" s="11">
        <v>4.0</v>
      </c>
      <c r="E32" s="11">
        <v>4.0</v>
      </c>
      <c r="F32" s="12" t="s">
        <v>199</v>
      </c>
    </row>
    <row r="33" ht="15.75" customHeight="1">
      <c r="A33" s="10" t="s">
        <v>195</v>
      </c>
      <c r="B33" s="11">
        <v>14.0</v>
      </c>
      <c r="C33" s="11">
        <v>16.0</v>
      </c>
      <c r="D33" s="11">
        <v>4.0</v>
      </c>
      <c r="E33" s="11">
        <v>1.0</v>
      </c>
      <c r="F33" s="12" t="s">
        <v>200</v>
      </c>
    </row>
    <row r="34" ht="15.75" customHeight="1">
      <c r="A34" s="10" t="s">
        <v>196</v>
      </c>
      <c r="B34" s="11">
        <v>15.0</v>
      </c>
      <c r="C34" s="11">
        <v>18.0</v>
      </c>
      <c r="D34" s="11">
        <v>5.0</v>
      </c>
      <c r="E34" s="11">
        <v>3.0</v>
      </c>
      <c r="F34" s="12" t="s">
        <v>201</v>
      </c>
    </row>
    <row r="35" ht="15.75" customHeight="1">
      <c r="A35" s="10" t="s">
        <v>197</v>
      </c>
      <c r="B35" s="11">
        <v>16.0</v>
      </c>
      <c r="C35" s="11">
        <v>22.0</v>
      </c>
      <c r="D35" s="11">
        <v>2.0</v>
      </c>
      <c r="E35" s="11">
        <v>7.0</v>
      </c>
      <c r="F35" s="12" t="s">
        <v>202</v>
      </c>
    </row>
    <row r="36" ht="15.75" customHeight="1"/>
    <row r="37" ht="15.75" customHeight="1">
      <c r="A37" s="3" t="s">
        <v>203</v>
      </c>
    </row>
    <row r="38" ht="25.5" customHeight="1">
      <c r="A38" s="4" t="s">
        <v>204</v>
      </c>
    </row>
    <row r="39" ht="25.5" customHeight="1">
      <c r="A39" s="4" t="s">
        <v>205</v>
      </c>
    </row>
    <row r="40" ht="25.5" customHeight="1">
      <c r="A40" s="4" t="s">
        <v>206</v>
      </c>
    </row>
    <row r="41" ht="25.5" customHeight="1">
      <c r="A41" s="4" t="s">
        <v>207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F1"/>
    <mergeCell ref="A3:F3"/>
    <mergeCell ref="A4:F4"/>
    <mergeCell ref="A5:F5"/>
    <mergeCell ref="A6:F6"/>
    <mergeCell ref="A7:F7"/>
    <mergeCell ref="A8:F8"/>
    <mergeCell ref="A39:F39"/>
    <mergeCell ref="A40:F40"/>
    <mergeCell ref="A41:F41"/>
    <mergeCell ref="A9:F9"/>
    <mergeCell ref="A10:F10"/>
    <mergeCell ref="A11:F11"/>
    <mergeCell ref="A13:F13"/>
    <mergeCell ref="A18:F18"/>
    <mergeCell ref="A37:F37"/>
    <mergeCell ref="A38:F3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0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  <c r="J1" s="1" t="s">
        <v>12</v>
      </c>
      <c r="K1" s="1" t="s">
        <v>13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25</v>
      </c>
      <c r="Q1" s="1" t="s">
        <v>27</v>
      </c>
      <c r="R1" s="1" t="s">
        <v>28</v>
      </c>
      <c r="S1" s="1" t="s">
        <v>31</v>
      </c>
      <c r="T1" s="1" t="s">
        <v>32</v>
      </c>
      <c r="U1" s="1" t="s">
        <v>34</v>
      </c>
      <c r="V1" s="1" t="s">
        <v>35</v>
      </c>
      <c r="W1" s="1" t="s">
        <v>37</v>
      </c>
      <c r="X1" s="1" t="s">
        <v>40</v>
      </c>
      <c r="Y1" s="1" t="s">
        <v>41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48</v>
      </c>
    </row>
    <row r="2">
      <c r="A2" s="1" t="s">
        <v>50</v>
      </c>
      <c r="B2" s="1" t="s">
        <v>51</v>
      </c>
      <c r="C2" s="1" t="s">
        <v>53</v>
      </c>
      <c r="D2" s="1" t="s">
        <v>54</v>
      </c>
      <c r="E2" s="1" t="s">
        <v>57</v>
      </c>
      <c r="F2" s="1" t="s">
        <v>59</v>
      </c>
      <c r="G2" s="1" t="s">
        <v>60</v>
      </c>
      <c r="H2" s="1" t="s">
        <v>64</v>
      </c>
      <c r="I2" s="1" t="s">
        <v>65</v>
      </c>
      <c r="J2" s="1" t="s">
        <v>67</v>
      </c>
      <c r="K2" s="1" t="s">
        <v>68</v>
      </c>
      <c r="L2" s="1" t="s">
        <v>69</v>
      </c>
      <c r="M2" s="1" t="s">
        <v>72</v>
      </c>
      <c r="N2" s="1" t="s">
        <v>74</v>
      </c>
      <c r="O2" s="1" t="s">
        <v>75</v>
      </c>
      <c r="P2" s="1" t="s">
        <v>80</v>
      </c>
      <c r="Q2" s="1" t="s">
        <v>83</v>
      </c>
      <c r="R2" s="1" t="s">
        <v>67</v>
      </c>
      <c r="S2" s="1" t="s">
        <v>84</v>
      </c>
      <c r="T2" s="1" t="s">
        <v>87</v>
      </c>
      <c r="U2" s="1" t="s">
        <v>88</v>
      </c>
      <c r="V2" s="1" t="s">
        <v>89</v>
      </c>
      <c r="W2" s="1" t="s">
        <v>90</v>
      </c>
      <c r="X2" s="1" t="s">
        <v>92</v>
      </c>
      <c r="Y2" s="1" t="s">
        <v>93</v>
      </c>
      <c r="Z2" s="1" t="s">
        <v>94</v>
      </c>
      <c r="AA2" s="1" t="s">
        <v>95</v>
      </c>
      <c r="AB2" s="1" t="s">
        <v>96</v>
      </c>
      <c r="AC2" s="1" t="s">
        <v>97</v>
      </c>
      <c r="AD2" s="1" t="s">
        <v>86</v>
      </c>
    </row>
    <row r="3">
      <c r="A3" s="1" t="s">
        <v>98</v>
      </c>
      <c r="B3" s="1" t="s">
        <v>100</v>
      </c>
      <c r="C3" s="1" t="s">
        <v>101</v>
      </c>
      <c r="D3" s="1" t="s">
        <v>102</v>
      </c>
      <c r="E3" s="1" t="s">
        <v>103</v>
      </c>
      <c r="F3" s="1" t="s">
        <v>105</v>
      </c>
      <c r="G3" s="1" t="s">
        <v>106</v>
      </c>
      <c r="H3" s="1" t="s">
        <v>107</v>
      </c>
      <c r="I3" s="1" t="s">
        <v>103</v>
      </c>
      <c r="J3" s="1" t="s">
        <v>108</v>
      </c>
      <c r="K3" s="1" t="s">
        <v>109</v>
      </c>
      <c r="L3" s="1" t="s">
        <v>110</v>
      </c>
      <c r="M3" s="1" t="s">
        <v>90</v>
      </c>
      <c r="N3" s="1" t="s">
        <v>111</v>
      </c>
      <c r="O3" s="1" t="s">
        <v>113</v>
      </c>
      <c r="P3" s="1" t="s">
        <v>114</v>
      </c>
      <c r="Q3" s="1" t="s">
        <v>115</v>
      </c>
      <c r="R3" s="1" t="s">
        <v>105</v>
      </c>
      <c r="S3" s="1" t="s">
        <v>117</v>
      </c>
      <c r="T3" s="1" t="s">
        <v>90</v>
      </c>
      <c r="U3" s="1" t="s">
        <v>118</v>
      </c>
      <c r="V3" s="1" t="s">
        <v>119</v>
      </c>
      <c r="W3" s="1" t="s">
        <v>72</v>
      </c>
      <c r="X3" s="1" t="s">
        <v>88</v>
      </c>
      <c r="Y3" s="1" t="s">
        <v>120</v>
      </c>
      <c r="Z3" s="1" t="s">
        <v>121</v>
      </c>
      <c r="AA3" s="1" t="s">
        <v>92</v>
      </c>
      <c r="AB3" s="1" t="s">
        <v>123</v>
      </c>
      <c r="AC3" s="1" t="s">
        <v>124</v>
      </c>
      <c r="AD3" s="1" t="s">
        <v>104</v>
      </c>
    </row>
    <row r="4"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131</v>
      </c>
      <c r="K4" s="1" t="s">
        <v>132</v>
      </c>
      <c r="N4" s="1" t="s">
        <v>133</v>
      </c>
      <c r="P4" s="1" t="s">
        <v>134</v>
      </c>
      <c r="Q4" s="1" t="s">
        <v>97</v>
      </c>
      <c r="R4" s="1" t="s">
        <v>135</v>
      </c>
      <c r="S4" s="1" t="s">
        <v>137</v>
      </c>
      <c r="T4" s="1" t="s">
        <v>72</v>
      </c>
      <c r="U4" s="1" t="s">
        <v>139</v>
      </c>
      <c r="V4" s="1" t="s">
        <v>140</v>
      </c>
      <c r="X4" s="1" t="s">
        <v>119</v>
      </c>
      <c r="Z4" s="1" t="s">
        <v>141</v>
      </c>
      <c r="AA4" s="1" t="s">
        <v>142</v>
      </c>
      <c r="AB4" s="1" t="s">
        <v>144</v>
      </c>
      <c r="AC4" s="1" t="s">
        <v>145</v>
      </c>
      <c r="AD4" s="1" t="s">
        <v>116</v>
      </c>
    </row>
    <row r="5">
      <c r="E5" s="1" t="s">
        <v>69</v>
      </c>
      <c r="F5" s="1" t="s">
        <v>147</v>
      </c>
      <c r="G5" s="1" t="s">
        <v>148</v>
      </c>
      <c r="H5" s="1" t="s">
        <v>149</v>
      </c>
      <c r="J5" s="1" t="s">
        <v>150</v>
      </c>
      <c r="N5" s="1" t="s">
        <v>151</v>
      </c>
      <c r="P5" s="1" t="s">
        <v>152</v>
      </c>
      <c r="R5" s="1" t="s">
        <v>155</v>
      </c>
      <c r="S5" s="1" t="s">
        <v>89</v>
      </c>
      <c r="X5" s="1" t="s">
        <v>158</v>
      </c>
      <c r="Z5" s="1" t="s">
        <v>159</v>
      </c>
      <c r="AB5" s="1" t="s">
        <v>160</v>
      </c>
      <c r="AD5" s="1" t="s">
        <v>125</v>
      </c>
    </row>
    <row r="6">
      <c r="E6" s="1" t="s">
        <v>161</v>
      </c>
      <c r="G6" s="1" t="s">
        <v>162</v>
      </c>
      <c r="H6" s="1" t="s">
        <v>163</v>
      </c>
      <c r="J6" s="1" t="s">
        <v>164</v>
      </c>
      <c r="P6" s="1" t="s">
        <v>166</v>
      </c>
      <c r="R6" s="1" t="s">
        <v>167</v>
      </c>
      <c r="S6" s="1" t="s">
        <v>169</v>
      </c>
      <c r="Z6" s="1" t="s">
        <v>170</v>
      </c>
      <c r="AB6" s="1" t="s">
        <v>171</v>
      </c>
      <c r="AD6" s="1" t="s">
        <v>138</v>
      </c>
    </row>
    <row r="7">
      <c r="G7" s="1" t="s">
        <v>152</v>
      </c>
      <c r="H7" s="1" t="s">
        <v>172</v>
      </c>
      <c r="P7" s="1" t="s">
        <v>173</v>
      </c>
      <c r="S7" s="1" t="s">
        <v>105</v>
      </c>
      <c r="Z7" s="1" t="s">
        <v>175</v>
      </c>
      <c r="AB7" s="1" t="s">
        <v>176</v>
      </c>
      <c r="AD7" s="1" t="s">
        <v>146</v>
      </c>
    </row>
    <row r="8">
      <c r="G8" s="1" t="s">
        <v>178</v>
      </c>
      <c r="H8" s="1" t="s">
        <v>179</v>
      </c>
      <c r="S8" s="1" t="s">
        <v>180</v>
      </c>
      <c r="Z8" s="1" t="s">
        <v>181</v>
      </c>
      <c r="AB8" s="1" t="s">
        <v>182</v>
      </c>
      <c r="AD8" s="1" t="s">
        <v>157</v>
      </c>
    </row>
    <row r="9">
      <c r="G9" s="1" t="s">
        <v>183</v>
      </c>
      <c r="H9" s="1" t="s">
        <v>184</v>
      </c>
      <c r="S9" s="1" t="s">
        <v>88</v>
      </c>
      <c r="AB9" s="1" t="s">
        <v>187</v>
      </c>
      <c r="AD9" s="1" t="s">
        <v>168</v>
      </c>
    </row>
    <row r="10">
      <c r="G10" s="1" t="s">
        <v>188</v>
      </c>
      <c r="S10" s="1" t="s">
        <v>150</v>
      </c>
      <c r="AD10" s="1" t="s">
        <v>177</v>
      </c>
    </row>
    <row r="11">
      <c r="G11" s="1" t="s">
        <v>189</v>
      </c>
      <c r="S11" s="1" t="s">
        <v>167</v>
      </c>
      <c r="AD11" s="1" t="s">
        <v>186</v>
      </c>
    </row>
    <row r="12">
      <c r="S12" s="1" t="s">
        <v>155</v>
      </c>
      <c r="AD12" s="1" t="s">
        <v>191</v>
      </c>
    </row>
    <row r="13">
      <c r="AD13" s="1" t="s">
        <v>192</v>
      </c>
    </row>
    <row r="14">
      <c r="AD14" s="1" t="s">
        <v>193</v>
      </c>
    </row>
    <row r="15">
      <c r="AD15" s="1" t="s">
        <v>195</v>
      </c>
    </row>
    <row r="16">
      <c r="AD16" s="1" t="s">
        <v>196</v>
      </c>
    </row>
    <row r="17">
      <c r="AD17" s="1" t="s">
        <v>197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0" width="22.0"/>
    <col customWidth="1" min="11" max="26" width="8.71"/>
  </cols>
  <sheetData>
    <row r="1" ht="30.0" customHeight="1">
      <c r="A1" s="5" t="s">
        <v>16</v>
      </c>
      <c r="B1" s="5" t="s">
        <v>30</v>
      </c>
      <c r="C1" s="5" t="s">
        <v>36</v>
      </c>
      <c r="D1" s="5" t="s">
        <v>42</v>
      </c>
      <c r="E1" s="5" t="s">
        <v>49</v>
      </c>
      <c r="F1" s="5" t="s">
        <v>56</v>
      </c>
      <c r="G1" s="5" t="s">
        <v>62</v>
      </c>
      <c r="H1" s="5" t="s">
        <v>70</v>
      </c>
      <c r="I1" s="5" t="s">
        <v>77</v>
      </c>
      <c r="J1" s="5" t="s">
        <v>81</v>
      </c>
    </row>
    <row r="2">
      <c r="A2" s="13" t="str">
        <f t="shared" ref="A2:A61" si="1">IF($B2="","","SRC-"&amp;TEXT(ROW()-1,"000"))</f>
        <v/>
      </c>
      <c r="B2" s="14"/>
      <c r="C2" s="14"/>
      <c r="D2" s="14"/>
      <c r="E2" s="14"/>
      <c r="F2" s="14"/>
      <c r="G2" s="14"/>
      <c r="H2" s="14"/>
      <c r="I2" s="13" t="str">
        <f t="shared" ref="I2:I61" si="2">IF($B2="","",IF($G2="","Unknown",IF((NOW()-$G2)*1440&lt;=$F2*2,"Current","Stale")))</f>
        <v/>
      </c>
      <c r="J2" s="14"/>
    </row>
    <row r="3">
      <c r="A3" s="13" t="str">
        <f t="shared" si="1"/>
        <v/>
      </c>
      <c r="B3" s="14"/>
      <c r="C3" s="14"/>
      <c r="D3" s="14"/>
      <c r="E3" s="14"/>
      <c r="F3" s="14"/>
      <c r="G3" s="14"/>
      <c r="H3" s="14"/>
      <c r="I3" s="13" t="str">
        <f t="shared" si="2"/>
        <v/>
      </c>
      <c r="J3" s="14"/>
    </row>
    <row r="4">
      <c r="A4" s="13" t="str">
        <f t="shared" si="1"/>
        <v/>
      </c>
      <c r="B4" s="14"/>
      <c r="C4" s="14"/>
      <c r="D4" s="14"/>
      <c r="E4" s="14"/>
      <c r="F4" s="14"/>
      <c r="G4" s="14"/>
      <c r="H4" s="14"/>
      <c r="I4" s="13" t="str">
        <f t="shared" si="2"/>
        <v/>
      </c>
      <c r="J4" s="14"/>
    </row>
    <row r="5">
      <c r="A5" s="13" t="str">
        <f t="shared" si="1"/>
        <v/>
      </c>
      <c r="B5" s="14"/>
      <c r="C5" s="14"/>
      <c r="D5" s="14"/>
      <c r="E5" s="14"/>
      <c r="F5" s="14"/>
      <c r="G5" s="14"/>
      <c r="H5" s="14"/>
      <c r="I5" s="13" t="str">
        <f t="shared" si="2"/>
        <v/>
      </c>
      <c r="J5" s="14"/>
    </row>
    <row r="6">
      <c r="A6" s="13" t="str">
        <f t="shared" si="1"/>
        <v/>
      </c>
      <c r="B6" s="14"/>
      <c r="C6" s="14"/>
      <c r="D6" s="14"/>
      <c r="E6" s="14"/>
      <c r="F6" s="14"/>
      <c r="G6" s="14"/>
      <c r="H6" s="14"/>
      <c r="I6" s="13" t="str">
        <f t="shared" si="2"/>
        <v/>
      </c>
      <c r="J6" s="14"/>
    </row>
    <row r="7">
      <c r="A7" s="13" t="str">
        <f t="shared" si="1"/>
        <v/>
      </c>
      <c r="B7" s="14"/>
      <c r="C7" s="14"/>
      <c r="D7" s="14"/>
      <c r="E7" s="14"/>
      <c r="F7" s="14"/>
      <c r="G7" s="14"/>
      <c r="H7" s="14"/>
      <c r="I7" s="13" t="str">
        <f t="shared" si="2"/>
        <v/>
      </c>
      <c r="J7" s="14"/>
    </row>
    <row r="8">
      <c r="A8" s="13" t="str">
        <f t="shared" si="1"/>
        <v/>
      </c>
      <c r="B8" s="14"/>
      <c r="C8" s="14"/>
      <c r="D8" s="14"/>
      <c r="E8" s="14"/>
      <c r="F8" s="14"/>
      <c r="G8" s="14"/>
      <c r="H8" s="14"/>
      <c r="I8" s="13" t="str">
        <f t="shared" si="2"/>
        <v/>
      </c>
      <c r="J8" s="14"/>
    </row>
    <row r="9">
      <c r="A9" s="13" t="str">
        <f t="shared" si="1"/>
        <v/>
      </c>
      <c r="B9" s="14"/>
      <c r="C9" s="14"/>
      <c r="D9" s="14"/>
      <c r="E9" s="14"/>
      <c r="F9" s="14"/>
      <c r="G9" s="14"/>
      <c r="H9" s="14"/>
      <c r="I9" s="13" t="str">
        <f t="shared" si="2"/>
        <v/>
      </c>
      <c r="J9" s="14"/>
    </row>
    <row r="10">
      <c r="A10" s="13" t="str">
        <f t="shared" si="1"/>
        <v/>
      </c>
      <c r="B10" s="14"/>
      <c r="C10" s="14"/>
      <c r="D10" s="14"/>
      <c r="E10" s="14"/>
      <c r="F10" s="14"/>
      <c r="G10" s="14"/>
      <c r="H10" s="14"/>
      <c r="I10" s="13" t="str">
        <f t="shared" si="2"/>
        <v/>
      </c>
      <c r="J10" s="14"/>
    </row>
    <row r="11">
      <c r="A11" s="13" t="str">
        <f t="shared" si="1"/>
        <v/>
      </c>
      <c r="B11" s="14"/>
      <c r="C11" s="14"/>
      <c r="D11" s="14"/>
      <c r="E11" s="14"/>
      <c r="F11" s="14"/>
      <c r="G11" s="14"/>
      <c r="H11" s="14"/>
      <c r="I11" s="13" t="str">
        <f t="shared" si="2"/>
        <v/>
      </c>
      <c r="J11" s="14"/>
    </row>
    <row r="12">
      <c r="A12" s="13" t="str">
        <f t="shared" si="1"/>
        <v/>
      </c>
      <c r="B12" s="14"/>
      <c r="C12" s="14"/>
      <c r="D12" s="14"/>
      <c r="E12" s="14"/>
      <c r="F12" s="14"/>
      <c r="G12" s="14"/>
      <c r="H12" s="14"/>
      <c r="I12" s="13" t="str">
        <f t="shared" si="2"/>
        <v/>
      </c>
      <c r="J12" s="14"/>
    </row>
    <row r="13">
      <c r="A13" s="13" t="str">
        <f t="shared" si="1"/>
        <v/>
      </c>
      <c r="B13" s="14"/>
      <c r="C13" s="14"/>
      <c r="D13" s="14"/>
      <c r="E13" s="14"/>
      <c r="F13" s="14"/>
      <c r="G13" s="14"/>
      <c r="H13" s="14"/>
      <c r="I13" s="13" t="str">
        <f t="shared" si="2"/>
        <v/>
      </c>
      <c r="J13" s="14"/>
    </row>
    <row r="14">
      <c r="A14" s="13" t="str">
        <f t="shared" si="1"/>
        <v/>
      </c>
      <c r="B14" s="14"/>
      <c r="C14" s="14"/>
      <c r="D14" s="14"/>
      <c r="E14" s="14"/>
      <c r="F14" s="14"/>
      <c r="G14" s="14"/>
      <c r="H14" s="14"/>
      <c r="I14" s="13" t="str">
        <f t="shared" si="2"/>
        <v/>
      </c>
      <c r="J14" s="14"/>
    </row>
    <row r="15">
      <c r="A15" s="13" t="str">
        <f t="shared" si="1"/>
        <v/>
      </c>
      <c r="B15" s="14"/>
      <c r="C15" s="14"/>
      <c r="D15" s="14"/>
      <c r="E15" s="14"/>
      <c r="F15" s="14"/>
      <c r="G15" s="14"/>
      <c r="H15" s="14"/>
      <c r="I15" s="13" t="str">
        <f t="shared" si="2"/>
        <v/>
      </c>
      <c r="J15" s="14"/>
    </row>
    <row r="16">
      <c r="A16" s="13" t="str">
        <f t="shared" si="1"/>
        <v/>
      </c>
      <c r="B16" s="14"/>
      <c r="C16" s="14"/>
      <c r="D16" s="14"/>
      <c r="E16" s="14"/>
      <c r="F16" s="14"/>
      <c r="G16" s="14"/>
      <c r="H16" s="14"/>
      <c r="I16" s="13" t="str">
        <f t="shared" si="2"/>
        <v/>
      </c>
      <c r="J16" s="14"/>
    </row>
    <row r="17">
      <c r="A17" s="13" t="str">
        <f t="shared" si="1"/>
        <v/>
      </c>
      <c r="B17" s="14"/>
      <c r="C17" s="14"/>
      <c r="D17" s="14"/>
      <c r="E17" s="14"/>
      <c r="F17" s="14"/>
      <c r="G17" s="14"/>
      <c r="H17" s="14"/>
      <c r="I17" s="13" t="str">
        <f t="shared" si="2"/>
        <v/>
      </c>
      <c r="J17" s="14"/>
    </row>
    <row r="18">
      <c r="A18" s="13" t="str">
        <f t="shared" si="1"/>
        <v/>
      </c>
      <c r="B18" s="14"/>
      <c r="C18" s="14"/>
      <c r="D18" s="14"/>
      <c r="E18" s="14"/>
      <c r="F18" s="14"/>
      <c r="G18" s="14"/>
      <c r="H18" s="14"/>
      <c r="I18" s="13" t="str">
        <f t="shared" si="2"/>
        <v/>
      </c>
      <c r="J18" s="14"/>
    </row>
    <row r="19">
      <c r="A19" s="13" t="str">
        <f t="shared" si="1"/>
        <v/>
      </c>
      <c r="B19" s="14"/>
      <c r="C19" s="14"/>
      <c r="D19" s="14"/>
      <c r="E19" s="14"/>
      <c r="F19" s="14"/>
      <c r="G19" s="14"/>
      <c r="H19" s="14"/>
      <c r="I19" s="13" t="str">
        <f t="shared" si="2"/>
        <v/>
      </c>
      <c r="J19" s="14"/>
    </row>
    <row r="20">
      <c r="A20" s="13" t="str">
        <f t="shared" si="1"/>
        <v/>
      </c>
      <c r="B20" s="14"/>
      <c r="C20" s="14"/>
      <c r="D20" s="14"/>
      <c r="E20" s="14"/>
      <c r="F20" s="14"/>
      <c r="G20" s="14"/>
      <c r="H20" s="14"/>
      <c r="I20" s="13" t="str">
        <f t="shared" si="2"/>
        <v/>
      </c>
      <c r="J20" s="14"/>
    </row>
    <row r="21" ht="15.75" customHeight="1">
      <c r="A21" s="13" t="str">
        <f t="shared" si="1"/>
        <v/>
      </c>
      <c r="B21" s="14"/>
      <c r="C21" s="14"/>
      <c r="D21" s="14"/>
      <c r="E21" s="14"/>
      <c r="F21" s="14"/>
      <c r="G21" s="14"/>
      <c r="H21" s="14"/>
      <c r="I21" s="13" t="str">
        <f t="shared" si="2"/>
        <v/>
      </c>
      <c r="J21" s="14"/>
    </row>
    <row r="22" ht="15.75" customHeight="1">
      <c r="A22" s="13" t="str">
        <f t="shared" si="1"/>
        <v/>
      </c>
      <c r="B22" s="14"/>
      <c r="C22" s="14"/>
      <c r="D22" s="14"/>
      <c r="E22" s="14"/>
      <c r="F22" s="14"/>
      <c r="G22" s="14"/>
      <c r="H22" s="14"/>
      <c r="I22" s="13" t="str">
        <f t="shared" si="2"/>
        <v/>
      </c>
      <c r="J22" s="14"/>
    </row>
    <row r="23" ht="15.75" customHeight="1">
      <c r="A23" s="13" t="str">
        <f t="shared" si="1"/>
        <v/>
      </c>
      <c r="B23" s="14"/>
      <c r="C23" s="14"/>
      <c r="D23" s="14"/>
      <c r="E23" s="14"/>
      <c r="F23" s="14"/>
      <c r="G23" s="14"/>
      <c r="H23" s="14"/>
      <c r="I23" s="13" t="str">
        <f t="shared" si="2"/>
        <v/>
      </c>
      <c r="J23" s="14"/>
    </row>
    <row r="24" ht="15.75" customHeight="1">
      <c r="A24" s="13" t="str">
        <f t="shared" si="1"/>
        <v/>
      </c>
      <c r="B24" s="14"/>
      <c r="C24" s="14"/>
      <c r="D24" s="14"/>
      <c r="E24" s="14"/>
      <c r="F24" s="14"/>
      <c r="G24" s="14"/>
      <c r="H24" s="14"/>
      <c r="I24" s="13" t="str">
        <f t="shared" si="2"/>
        <v/>
      </c>
      <c r="J24" s="14"/>
    </row>
    <row r="25" ht="15.75" customHeight="1">
      <c r="A25" s="13" t="str">
        <f t="shared" si="1"/>
        <v/>
      </c>
      <c r="B25" s="14"/>
      <c r="C25" s="14"/>
      <c r="D25" s="14"/>
      <c r="E25" s="14"/>
      <c r="F25" s="14"/>
      <c r="G25" s="14"/>
      <c r="H25" s="14"/>
      <c r="I25" s="13" t="str">
        <f t="shared" si="2"/>
        <v/>
      </c>
      <c r="J25" s="14"/>
    </row>
    <row r="26" ht="15.75" customHeight="1">
      <c r="A26" s="13" t="str">
        <f t="shared" si="1"/>
        <v/>
      </c>
      <c r="B26" s="14"/>
      <c r="C26" s="14"/>
      <c r="D26" s="14"/>
      <c r="E26" s="14"/>
      <c r="F26" s="14"/>
      <c r="G26" s="14"/>
      <c r="H26" s="14"/>
      <c r="I26" s="13" t="str">
        <f t="shared" si="2"/>
        <v/>
      </c>
      <c r="J26" s="14"/>
    </row>
    <row r="27" ht="15.75" customHeight="1">
      <c r="A27" s="13" t="str">
        <f t="shared" si="1"/>
        <v/>
      </c>
      <c r="B27" s="14"/>
      <c r="C27" s="14"/>
      <c r="D27" s="14"/>
      <c r="E27" s="14"/>
      <c r="F27" s="14"/>
      <c r="G27" s="14"/>
      <c r="H27" s="14"/>
      <c r="I27" s="13" t="str">
        <f t="shared" si="2"/>
        <v/>
      </c>
      <c r="J27" s="14"/>
    </row>
    <row r="28" ht="15.75" customHeight="1">
      <c r="A28" s="13" t="str">
        <f t="shared" si="1"/>
        <v/>
      </c>
      <c r="B28" s="14"/>
      <c r="C28" s="14"/>
      <c r="D28" s="14"/>
      <c r="E28" s="14"/>
      <c r="F28" s="14"/>
      <c r="G28" s="14"/>
      <c r="H28" s="14"/>
      <c r="I28" s="13" t="str">
        <f t="shared" si="2"/>
        <v/>
      </c>
      <c r="J28" s="14"/>
    </row>
    <row r="29" ht="15.75" customHeight="1">
      <c r="A29" s="13" t="str">
        <f t="shared" si="1"/>
        <v/>
      </c>
      <c r="B29" s="14"/>
      <c r="C29" s="14"/>
      <c r="D29" s="14"/>
      <c r="E29" s="14"/>
      <c r="F29" s="14"/>
      <c r="G29" s="14"/>
      <c r="H29" s="14"/>
      <c r="I29" s="13" t="str">
        <f t="shared" si="2"/>
        <v/>
      </c>
      <c r="J29" s="14"/>
    </row>
    <row r="30" ht="15.75" customHeight="1">
      <c r="A30" s="13" t="str">
        <f t="shared" si="1"/>
        <v/>
      </c>
      <c r="B30" s="14"/>
      <c r="C30" s="14"/>
      <c r="D30" s="14"/>
      <c r="E30" s="14"/>
      <c r="F30" s="14"/>
      <c r="G30" s="14"/>
      <c r="H30" s="14"/>
      <c r="I30" s="13" t="str">
        <f t="shared" si="2"/>
        <v/>
      </c>
      <c r="J30" s="14"/>
    </row>
    <row r="31" ht="15.75" customHeight="1">
      <c r="A31" s="13" t="str">
        <f t="shared" si="1"/>
        <v/>
      </c>
      <c r="B31" s="14"/>
      <c r="C31" s="14"/>
      <c r="D31" s="14"/>
      <c r="E31" s="14"/>
      <c r="F31" s="14"/>
      <c r="G31" s="14"/>
      <c r="H31" s="14"/>
      <c r="I31" s="13" t="str">
        <f t="shared" si="2"/>
        <v/>
      </c>
      <c r="J31" s="14"/>
    </row>
    <row r="32" ht="15.75" customHeight="1">
      <c r="A32" s="13" t="str">
        <f t="shared" si="1"/>
        <v/>
      </c>
      <c r="B32" s="14"/>
      <c r="C32" s="14"/>
      <c r="D32" s="14"/>
      <c r="E32" s="14"/>
      <c r="F32" s="14"/>
      <c r="G32" s="14"/>
      <c r="H32" s="14"/>
      <c r="I32" s="13" t="str">
        <f t="shared" si="2"/>
        <v/>
      </c>
      <c r="J32" s="14"/>
    </row>
    <row r="33" ht="15.75" customHeight="1">
      <c r="A33" s="13" t="str">
        <f t="shared" si="1"/>
        <v/>
      </c>
      <c r="B33" s="14"/>
      <c r="C33" s="14"/>
      <c r="D33" s="14"/>
      <c r="E33" s="14"/>
      <c r="F33" s="14"/>
      <c r="G33" s="14"/>
      <c r="H33" s="14"/>
      <c r="I33" s="13" t="str">
        <f t="shared" si="2"/>
        <v/>
      </c>
      <c r="J33" s="14"/>
    </row>
    <row r="34" ht="15.75" customHeight="1">
      <c r="A34" s="13" t="str">
        <f t="shared" si="1"/>
        <v/>
      </c>
      <c r="B34" s="14"/>
      <c r="C34" s="14"/>
      <c r="D34" s="14"/>
      <c r="E34" s="14"/>
      <c r="F34" s="14"/>
      <c r="G34" s="14"/>
      <c r="H34" s="14"/>
      <c r="I34" s="13" t="str">
        <f t="shared" si="2"/>
        <v/>
      </c>
      <c r="J34" s="14"/>
    </row>
    <row r="35" ht="15.75" customHeight="1">
      <c r="A35" s="13" t="str">
        <f t="shared" si="1"/>
        <v/>
      </c>
      <c r="B35" s="14"/>
      <c r="C35" s="14"/>
      <c r="D35" s="14"/>
      <c r="E35" s="14"/>
      <c r="F35" s="14"/>
      <c r="G35" s="14"/>
      <c r="H35" s="14"/>
      <c r="I35" s="13" t="str">
        <f t="shared" si="2"/>
        <v/>
      </c>
      <c r="J35" s="14"/>
    </row>
    <row r="36" ht="15.75" customHeight="1">
      <c r="A36" s="13" t="str">
        <f t="shared" si="1"/>
        <v/>
      </c>
      <c r="B36" s="14"/>
      <c r="C36" s="14"/>
      <c r="D36" s="14"/>
      <c r="E36" s="14"/>
      <c r="F36" s="14"/>
      <c r="G36" s="14"/>
      <c r="H36" s="14"/>
      <c r="I36" s="13" t="str">
        <f t="shared" si="2"/>
        <v/>
      </c>
      <c r="J36" s="14"/>
    </row>
    <row r="37" ht="15.75" customHeight="1">
      <c r="A37" s="13" t="str">
        <f t="shared" si="1"/>
        <v/>
      </c>
      <c r="B37" s="14"/>
      <c r="C37" s="14"/>
      <c r="D37" s="14"/>
      <c r="E37" s="14"/>
      <c r="F37" s="14"/>
      <c r="G37" s="14"/>
      <c r="H37" s="14"/>
      <c r="I37" s="13" t="str">
        <f t="shared" si="2"/>
        <v/>
      </c>
      <c r="J37" s="14"/>
    </row>
    <row r="38" ht="15.75" customHeight="1">
      <c r="A38" s="13" t="str">
        <f t="shared" si="1"/>
        <v/>
      </c>
      <c r="B38" s="14"/>
      <c r="C38" s="14"/>
      <c r="D38" s="14"/>
      <c r="E38" s="14"/>
      <c r="F38" s="14"/>
      <c r="G38" s="14"/>
      <c r="H38" s="14"/>
      <c r="I38" s="13" t="str">
        <f t="shared" si="2"/>
        <v/>
      </c>
      <c r="J38" s="14"/>
    </row>
    <row r="39" ht="15.75" customHeight="1">
      <c r="A39" s="13" t="str">
        <f t="shared" si="1"/>
        <v/>
      </c>
      <c r="B39" s="14"/>
      <c r="C39" s="14"/>
      <c r="D39" s="14"/>
      <c r="E39" s="14"/>
      <c r="F39" s="14"/>
      <c r="G39" s="14"/>
      <c r="H39" s="14"/>
      <c r="I39" s="13" t="str">
        <f t="shared" si="2"/>
        <v/>
      </c>
      <c r="J39" s="14"/>
    </row>
    <row r="40" ht="15.75" customHeight="1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3" t="str">
        <f t="shared" si="2"/>
        <v/>
      </c>
      <c r="J40" s="14"/>
    </row>
    <row r="41" ht="15.75" customHeight="1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3" t="str">
        <f t="shared" si="2"/>
        <v/>
      </c>
      <c r="J41" s="14"/>
    </row>
    <row r="42" ht="15.75" customHeight="1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3" t="str">
        <f t="shared" si="2"/>
        <v/>
      </c>
      <c r="J42" s="14"/>
    </row>
    <row r="43" ht="15.75" customHeight="1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3" t="str">
        <f t="shared" si="2"/>
        <v/>
      </c>
      <c r="J43" s="14"/>
    </row>
    <row r="44" ht="15.75" customHeight="1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3" t="str">
        <f t="shared" si="2"/>
        <v/>
      </c>
      <c r="J44" s="14"/>
    </row>
    <row r="45" ht="15.75" customHeight="1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3" t="str">
        <f t="shared" si="2"/>
        <v/>
      </c>
      <c r="J45" s="14"/>
    </row>
    <row r="46" ht="15.75" customHeight="1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3" t="str">
        <f t="shared" si="2"/>
        <v/>
      </c>
      <c r="J46" s="14"/>
    </row>
    <row r="47" ht="15.75" customHeight="1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3" t="str">
        <f t="shared" si="2"/>
        <v/>
      </c>
      <c r="J47" s="14"/>
    </row>
    <row r="48" ht="15.75" customHeight="1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3" t="str">
        <f t="shared" si="2"/>
        <v/>
      </c>
      <c r="J48" s="14"/>
    </row>
    <row r="49" ht="15.75" customHeight="1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3" t="str">
        <f t="shared" si="2"/>
        <v/>
      </c>
      <c r="J49" s="14"/>
    </row>
    <row r="50" ht="15.75" customHeight="1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3" t="str">
        <f t="shared" si="2"/>
        <v/>
      </c>
      <c r="J50" s="14"/>
    </row>
    <row r="51" ht="15.75" customHeight="1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3" t="str">
        <f t="shared" si="2"/>
        <v/>
      </c>
      <c r="J51" s="14"/>
    </row>
    <row r="52" ht="15.75" customHeight="1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3" t="str">
        <f t="shared" si="2"/>
        <v/>
      </c>
      <c r="J52" s="14"/>
    </row>
    <row r="53" ht="15.75" customHeight="1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3" t="str">
        <f t="shared" si="2"/>
        <v/>
      </c>
      <c r="J53" s="14"/>
    </row>
    <row r="54" ht="15.75" customHeight="1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3" t="str">
        <f t="shared" si="2"/>
        <v/>
      </c>
      <c r="J54" s="14"/>
    </row>
    <row r="55" ht="15.75" customHeight="1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3" t="str">
        <f t="shared" si="2"/>
        <v/>
      </c>
      <c r="J55" s="14"/>
    </row>
    <row r="56" ht="15.75" customHeight="1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3" t="str">
        <f t="shared" si="2"/>
        <v/>
      </c>
      <c r="J56" s="14"/>
    </row>
    <row r="57" ht="15.75" customHeight="1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3" t="str">
        <f t="shared" si="2"/>
        <v/>
      </c>
      <c r="J57" s="14"/>
    </row>
    <row r="58" ht="15.75" customHeight="1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3" t="str">
        <f t="shared" si="2"/>
        <v/>
      </c>
      <c r="J58" s="14"/>
    </row>
    <row r="59" ht="15.75" customHeight="1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3" t="str">
        <f t="shared" si="2"/>
        <v/>
      </c>
      <c r="J59" s="14"/>
    </row>
    <row r="60" ht="15.75" customHeight="1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3" t="str">
        <f t="shared" si="2"/>
        <v/>
      </c>
      <c r="J60" s="14"/>
    </row>
    <row r="61" ht="15.75" customHeight="1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3" t="str">
        <f t="shared" si="2"/>
        <v/>
      </c>
      <c r="J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E2:E61">
      <formula1>Lists!$G$2:$G$11</formula1>
    </dataValidation>
    <dataValidation type="list" allowBlank="1" showInputMessage="1" showErrorMessage="1" prompt="Invalid entry - Please choose a value from the dropdown list only." sqref="D2:D61">
      <formula1>Lists!$AD$2:$AD$17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9" width="22.0"/>
    <col customWidth="1" min="10" max="26" width="8.71"/>
  </cols>
  <sheetData>
    <row r="1" ht="30.0" customHeight="1">
      <c r="A1" s="5" t="s">
        <v>38</v>
      </c>
      <c r="B1" s="5" t="s">
        <v>52</v>
      </c>
      <c r="C1" s="5" t="s">
        <v>61</v>
      </c>
      <c r="D1" s="5" t="s">
        <v>73</v>
      </c>
      <c r="E1" s="5" t="s">
        <v>79</v>
      </c>
      <c r="F1" s="5" t="s">
        <v>85</v>
      </c>
      <c r="G1" s="5" t="s">
        <v>91</v>
      </c>
      <c r="H1" s="5" t="s">
        <v>153</v>
      </c>
      <c r="I1" s="5" t="s">
        <v>156</v>
      </c>
    </row>
    <row r="2">
      <c r="A2" s="13" t="str">
        <f t="shared" ref="A2:A61" si="1">IF($B2="","","POL-"&amp;TEXT(ROW()-1,"000"))</f>
        <v/>
      </c>
      <c r="B2" s="14"/>
      <c r="C2" s="14"/>
      <c r="D2" s="14"/>
      <c r="E2" s="14"/>
      <c r="F2" s="14"/>
      <c r="G2" s="14"/>
      <c r="H2" s="14"/>
      <c r="I2" s="14"/>
    </row>
    <row r="3">
      <c r="A3" s="13" t="str">
        <f t="shared" si="1"/>
        <v/>
      </c>
      <c r="B3" s="14"/>
      <c r="C3" s="14"/>
      <c r="D3" s="14"/>
      <c r="E3" s="14"/>
      <c r="F3" s="14"/>
      <c r="G3" s="14"/>
      <c r="H3" s="14"/>
      <c r="I3" s="14"/>
    </row>
    <row r="4">
      <c r="A4" s="13" t="str">
        <f t="shared" si="1"/>
        <v/>
      </c>
      <c r="B4" s="14"/>
      <c r="C4" s="14"/>
      <c r="D4" s="14"/>
      <c r="E4" s="14"/>
      <c r="F4" s="14"/>
      <c r="G4" s="14"/>
      <c r="H4" s="14"/>
      <c r="I4" s="14"/>
    </row>
    <row r="5">
      <c r="A5" s="13" t="str">
        <f t="shared" si="1"/>
        <v/>
      </c>
      <c r="B5" s="14"/>
      <c r="C5" s="14"/>
      <c r="D5" s="14"/>
      <c r="E5" s="14"/>
      <c r="F5" s="14"/>
      <c r="G5" s="14"/>
      <c r="H5" s="14"/>
      <c r="I5" s="14"/>
    </row>
    <row r="6">
      <c r="A6" s="13" t="str">
        <f t="shared" si="1"/>
        <v/>
      </c>
      <c r="B6" s="14"/>
      <c r="C6" s="14"/>
      <c r="D6" s="14"/>
      <c r="E6" s="14"/>
      <c r="F6" s="14"/>
      <c r="G6" s="14"/>
      <c r="H6" s="14"/>
      <c r="I6" s="14"/>
    </row>
    <row r="7">
      <c r="A7" s="13" t="str">
        <f t="shared" si="1"/>
        <v/>
      </c>
      <c r="B7" s="14"/>
      <c r="C7" s="14"/>
      <c r="D7" s="14"/>
      <c r="E7" s="14"/>
      <c r="F7" s="14"/>
      <c r="G7" s="14"/>
      <c r="H7" s="14"/>
      <c r="I7" s="14"/>
    </row>
    <row r="8">
      <c r="A8" s="13" t="str">
        <f t="shared" si="1"/>
        <v/>
      </c>
      <c r="B8" s="14"/>
      <c r="C8" s="14"/>
      <c r="D8" s="14"/>
      <c r="E8" s="14"/>
      <c r="F8" s="14"/>
      <c r="G8" s="14"/>
      <c r="H8" s="14"/>
      <c r="I8" s="14"/>
    </row>
    <row r="9">
      <c r="A9" s="13" t="str">
        <f t="shared" si="1"/>
        <v/>
      </c>
      <c r="B9" s="14"/>
      <c r="C9" s="14"/>
      <c r="D9" s="14"/>
      <c r="E9" s="14"/>
      <c r="F9" s="14"/>
      <c r="G9" s="14"/>
      <c r="H9" s="14"/>
      <c r="I9" s="14"/>
    </row>
    <row r="10">
      <c r="A10" s="13" t="str">
        <f t="shared" si="1"/>
        <v/>
      </c>
      <c r="B10" s="14"/>
      <c r="C10" s="14"/>
      <c r="D10" s="14"/>
      <c r="E10" s="14"/>
      <c r="F10" s="14"/>
      <c r="G10" s="14"/>
      <c r="H10" s="14"/>
      <c r="I10" s="14"/>
    </row>
    <row r="11">
      <c r="A11" s="13" t="str">
        <f t="shared" si="1"/>
        <v/>
      </c>
      <c r="B11" s="14"/>
      <c r="C11" s="14"/>
      <c r="D11" s="14"/>
      <c r="E11" s="14"/>
      <c r="F11" s="14"/>
      <c r="G11" s="14"/>
      <c r="H11" s="14"/>
      <c r="I11" s="14"/>
    </row>
    <row r="12">
      <c r="A12" s="13" t="str">
        <f t="shared" si="1"/>
        <v/>
      </c>
      <c r="B12" s="14"/>
      <c r="C12" s="14"/>
      <c r="D12" s="14"/>
      <c r="E12" s="14"/>
      <c r="F12" s="14"/>
      <c r="G12" s="14"/>
      <c r="H12" s="14"/>
      <c r="I12" s="14"/>
    </row>
    <row r="13">
      <c r="A13" s="13" t="str">
        <f t="shared" si="1"/>
        <v/>
      </c>
      <c r="B13" s="14"/>
      <c r="C13" s="14"/>
      <c r="D13" s="14"/>
      <c r="E13" s="14"/>
      <c r="F13" s="14"/>
      <c r="G13" s="14"/>
      <c r="H13" s="14"/>
      <c r="I13" s="14"/>
    </row>
    <row r="14">
      <c r="A14" s="13" t="str">
        <f t="shared" si="1"/>
        <v/>
      </c>
      <c r="B14" s="14"/>
      <c r="C14" s="14"/>
      <c r="D14" s="14"/>
      <c r="E14" s="14"/>
      <c r="F14" s="14"/>
      <c r="G14" s="14"/>
      <c r="H14" s="14"/>
      <c r="I14" s="14"/>
    </row>
    <row r="15">
      <c r="A15" s="13" t="str">
        <f t="shared" si="1"/>
        <v/>
      </c>
      <c r="B15" s="14"/>
      <c r="C15" s="14"/>
      <c r="D15" s="14"/>
      <c r="E15" s="14"/>
      <c r="F15" s="14"/>
      <c r="G15" s="14"/>
      <c r="H15" s="14"/>
      <c r="I15" s="14"/>
    </row>
    <row r="16">
      <c r="A16" s="13" t="str">
        <f t="shared" si="1"/>
        <v/>
      </c>
      <c r="B16" s="14"/>
      <c r="C16" s="14"/>
      <c r="D16" s="14"/>
      <c r="E16" s="14"/>
      <c r="F16" s="14"/>
      <c r="G16" s="14"/>
      <c r="H16" s="14"/>
      <c r="I16" s="14"/>
    </row>
    <row r="17">
      <c r="A17" s="13" t="str">
        <f t="shared" si="1"/>
        <v/>
      </c>
      <c r="B17" s="14"/>
      <c r="C17" s="14"/>
      <c r="D17" s="14"/>
      <c r="E17" s="14"/>
      <c r="F17" s="14"/>
      <c r="G17" s="14"/>
      <c r="H17" s="14"/>
      <c r="I17" s="14"/>
    </row>
    <row r="18">
      <c r="A18" s="13" t="str">
        <f t="shared" si="1"/>
        <v/>
      </c>
      <c r="B18" s="14"/>
      <c r="C18" s="14"/>
      <c r="D18" s="14"/>
      <c r="E18" s="14"/>
      <c r="F18" s="14"/>
      <c r="G18" s="14"/>
      <c r="H18" s="14"/>
      <c r="I18" s="14"/>
    </row>
    <row r="19">
      <c r="A19" s="13" t="str">
        <f t="shared" si="1"/>
        <v/>
      </c>
      <c r="B19" s="14"/>
      <c r="C19" s="14"/>
      <c r="D19" s="14"/>
      <c r="E19" s="14"/>
      <c r="F19" s="14"/>
      <c r="G19" s="14"/>
      <c r="H19" s="14"/>
      <c r="I19" s="14"/>
    </row>
    <row r="20">
      <c r="A20" s="13" t="str">
        <f t="shared" si="1"/>
        <v/>
      </c>
      <c r="B20" s="14"/>
      <c r="C20" s="14"/>
      <c r="D20" s="14"/>
      <c r="E20" s="14"/>
      <c r="F20" s="14"/>
      <c r="G20" s="14"/>
      <c r="H20" s="14"/>
      <c r="I20" s="14"/>
    </row>
    <row r="21" ht="15.75" customHeight="1">
      <c r="A21" s="13" t="str">
        <f t="shared" si="1"/>
        <v/>
      </c>
      <c r="B21" s="14"/>
      <c r="C21" s="14"/>
      <c r="D21" s="14"/>
      <c r="E21" s="14"/>
      <c r="F21" s="14"/>
      <c r="G21" s="14"/>
      <c r="H21" s="14"/>
      <c r="I21" s="14"/>
    </row>
    <row r="22" ht="15.75" customHeight="1">
      <c r="A22" s="13" t="str">
        <f t="shared" si="1"/>
        <v/>
      </c>
      <c r="B22" s="14"/>
      <c r="C22" s="14"/>
      <c r="D22" s="14"/>
      <c r="E22" s="14"/>
      <c r="F22" s="14"/>
      <c r="G22" s="14"/>
      <c r="H22" s="14"/>
      <c r="I22" s="14"/>
    </row>
    <row r="23" ht="15.75" customHeight="1">
      <c r="A23" s="13" t="str">
        <f t="shared" si="1"/>
        <v/>
      </c>
      <c r="B23" s="14"/>
      <c r="C23" s="14"/>
      <c r="D23" s="14"/>
      <c r="E23" s="14"/>
      <c r="F23" s="14"/>
      <c r="G23" s="14"/>
      <c r="H23" s="14"/>
      <c r="I23" s="14"/>
    </row>
    <row r="24" ht="15.75" customHeight="1">
      <c r="A24" s="13" t="str">
        <f t="shared" si="1"/>
        <v/>
      </c>
      <c r="B24" s="14"/>
      <c r="C24" s="14"/>
      <c r="D24" s="14"/>
      <c r="E24" s="14"/>
      <c r="F24" s="14"/>
      <c r="G24" s="14"/>
      <c r="H24" s="14"/>
      <c r="I24" s="14"/>
    </row>
    <row r="25" ht="15.75" customHeight="1">
      <c r="A25" s="13" t="str">
        <f t="shared" si="1"/>
        <v/>
      </c>
      <c r="B25" s="14"/>
      <c r="C25" s="14"/>
      <c r="D25" s="14"/>
      <c r="E25" s="14"/>
      <c r="F25" s="14"/>
      <c r="G25" s="14"/>
      <c r="H25" s="14"/>
      <c r="I25" s="14"/>
    </row>
    <row r="26" ht="15.75" customHeight="1">
      <c r="A26" s="13" t="str">
        <f t="shared" si="1"/>
        <v/>
      </c>
      <c r="B26" s="14"/>
      <c r="C26" s="14"/>
      <c r="D26" s="14"/>
      <c r="E26" s="14"/>
      <c r="F26" s="14"/>
      <c r="G26" s="14"/>
      <c r="H26" s="14"/>
      <c r="I26" s="14"/>
    </row>
    <row r="27" ht="15.75" customHeight="1">
      <c r="A27" s="13" t="str">
        <f t="shared" si="1"/>
        <v/>
      </c>
      <c r="B27" s="14"/>
      <c r="C27" s="14"/>
      <c r="D27" s="14"/>
      <c r="E27" s="14"/>
      <c r="F27" s="14"/>
      <c r="G27" s="14"/>
      <c r="H27" s="14"/>
      <c r="I27" s="14"/>
    </row>
    <row r="28" ht="15.75" customHeight="1">
      <c r="A28" s="13" t="str">
        <f t="shared" si="1"/>
        <v/>
      </c>
      <c r="B28" s="14"/>
      <c r="C28" s="14"/>
      <c r="D28" s="14"/>
      <c r="E28" s="14"/>
      <c r="F28" s="14"/>
      <c r="G28" s="14"/>
      <c r="H28" s="14"/>
      <c r="I28" s="14"/>
    </row>
    <row r="29" ht="15.75" customHeight="1">
      <c r="A29" s="13" t="str">
        <f t="shared" si="1"/>
        <v/>
      </c>
      <c r="B29" s="14"/>
      <c r="C29" s="14"/>
      <c r="D29" s="14"/>
      <c r="E29" s="14"/>
      <c r="F29" s="14"/>
      <c r="G29" s="14"/>
      <c r="H29" s="14"/>
      <c r="I29" s="14"/>
    </row>
    <row r="30" ht="15.75" customHeight="1">
      <c r="A30" s="13" t="str">
        <f t="shared" si="1"/>
        <v/>
      </c>
      <c r="B30" s="14"/>
      <c r="C30" s="14"/>
      <c r="D30" s="14"/>
      <c r="E30" s="14"/>
      <c r="F30" s="14"/>
      <c r="G30" s="14"/>
      <c r="H30" s="14"/>
      <c r="I30" s="14"/>
    </row>
    <row r="31" ht="15.75" customHeight="1">
      <c r="A31" s="13" t="str">
        <f t="shared" si="1"/>
        <v/>
      </c>
      <c r="B31" s="14"/>
      <c r="C31" s="14"/>
      <c r="D31" s="14"/>
      <c r="E31" s="14"/>
      <c r="F31" s="14"/>
      <c r="G31" s="14"/>
      <c r="H31" s="14"/>
      <c r="I31" s="14"/>
    </row>
    <row r="32" ht="15.75" customHeight="1">
      <c r="A32" s="13" t="str">
        <f t="shared" si="1"/>
        <v/>
      </c>
      <c r="B32" s="14"/>
      <c r="C32" s="14"/>
      <c r="D32" s="14"/>
      <c r="E32" s="14"/>
      <c r="F32" s="14"/>
      <c r="G32" s="14"/>
      <c r="H32" s="14"/>
      <c r="I32" s="14"/>
    </row>
    <row r="33" ht="15.75" customHeight="1">
      <c r="A33" s="13" t="str">
        <f t="shared" si="1"/>
        <v/>
      </c>
      <c r="B33" s="14"/>
      <c r="C33" s="14"/>
      <c r="D33" s="14"/>
      <c r="E33" s="14"/>
      <c r="F33" s="14"/>
      <c r="G33" s="14"/>
      <c r="H33" s="14"/>
      <c r="I33" s="14"/>
    </row>
    <row r="34" ht="15.75" customHeight="1">
      <c r="A34" s="13" t="str">
        <f t="shared" si="1"/>
        <v/>
      </c>
      <c r="B34" s="14"/>
      <c r="C34" s="14"/>
      <c r="D34" s="14"/>
      <c r="E34" s="14"/>
      <c r="F34" s="14"/>
      <c r="G34" s="14"/>
      <c r="H34" s="14"/>
      <c r="I34" s="14"/>
    </row>
    <row r="35" ht="15.75" customHeight="1">
      <c r="A35" s="13" t="str">
        <f t="shared" si="1"/>
        <v/>
      </c>
      <c r="B35" s="14"/>
      <c r="C35" s="14"/>
      <c r="D35" s="14"/>
      <c r="E35" s="14"/>
      <c r="F35" s="14"/>
      <c r="G35" s="14"/>
      <c r="H35" s="14"/>
      <c r="I35" s="14"/>
    </row>
    <row r="36" ht="15.75" customHeight="1">
      <c r="A36" s="13" t="str">
        <f t="shared" si="1"/>
        <v/>
      </c>
      <c r="B36" s="14"/>
      <c r="C36" s="14"/>
      <c r="D36" s="14"/>
      <c r="E36" s="14"/>
      <c r="F36" s="14"/>
      <c r="G36" s="14"/>
      <c r="H36" s="14"/>
      <c r="I36" s="14"/>
    </row>
    <row r="37" ht="15.75" customHeight="1">
      <c r="A37" s="13" t="str">
        <f t="shared" si="1"/>
        <v/>
      </c>
      <c r="B37" s="14"/>
      <c r="C37" s="14"/>
      <c r="D37" s="14"/>
      <c r="E37" s="14"/>
      <c r="F37" s="14"/>
      <c r="G37" s="14"/>
      <c r="H37" s="14"/>
      <c r="I37" s="14"/>
    </row>
    <row r="38" ht="15.75" customHeight="1">
      <c r="A38" s="13" t="str">
        <f t="shared" si="1"/>
        <v/>
      </c>
      <c r="B38" s="14"/>
      <c r="C38" s="14"/>
      <c r="D38" s="14"/>
      <c r="E38" s="14"/>
      <c r="F38" s="14"/>
      <c r="G38" s="14"/>
      <c r="H38" s="14"/>
      <c r="I38" s="14"/>
    </row>
    <row r="39" ht="15.75" customHeight="1">
      <c r="A39" s="13" t="str">
        <f t="shared" si="1"/>
        <v/>
      </c>
      <c r="B39" s="14"/>
      <c r="C39" s="14"/>
      <c r="D39" s="14"/>
      <c r="E39" s="14"/>
      <c r="F39" s="14"/>
      <c r="G39" s="14"/>
      <c r="H39" s="14"/>
      <c r="I39" s="14"/>
    </row>
    <row r="40" ht="15.75" customHeight="1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</row>
    <row r="41" ht="15.75" customHeight="1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</row>
    <row r="42" ht="15.75" customHeight="1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</row>
    <row r="43" ht="15.75" customHeight="1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</row>
    <row r="44" ht="15.75" customHeight="1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</row>
    <row r="45" ht="15.75" customHeight="1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</row>
    <row r="46" ht="15.75" customHeight="1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</row>
    <row r="47" ht="15.75" customHeight="1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</row>
    <row r="48" ht="15.75" customHeight="1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</row>
    <row r="49" ht="15.75" customHeight="1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</row>
    <row r="50" ht="15.75" customHeight="1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</row>
    <row r="51" ht="15.75" customHeight="1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</row>
    <row r="52" ht="15.75" customHeight="1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</row>
    <row r="53" ht="15.75" customHeight="1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</row>
    <row r="54" ht="15.75" customHeight="1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</row>
    <row r="55" ht="15.75" customHeight="1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</row>
    <row r="56" ht="15.75" customHeight="1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</row>
    <row r="57" ht="15.75" customHeight="1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</row>
    <row r="58" ht="15.75" customHeight="1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</row>
    <row r="59" ht="15.75" customHeight="1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</row>
    <row r="60" ht="15.75" customHeight="1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</row>
    <row r="61" ht="15.75" customHeight="1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F2:F61">
      <formula1>Lists!$M$2:$M$3</formula1>
    </dataValidation>
    <dataValidation type="list" allowBlank="1" showInputMessage="1" showErrorMessage="1" prompt="Invalid entry - Please choose a value from the dropdown list only." sqref="G2:G61">
      <formula1>Lists!$L$2:$L$3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8" width="22.0"/>
    <col customWidth="1" min="9" max="26" width="8.71"/>
  </cols>
  <sheetData>
    <row r="1" ht="30.0" customHeight="1">
      <c r="A1" s="5" t="s">
        <v>208</v>
      </c>
      <c r="B1" s="5" t="s">
        <v>209</v>
      </c>
      <c r="C1" s="5" t="s">
        <v>210</v>
      </c>
      <c r="D1" s="5" t="s">
        <v>211</v>
      </c>
      <c r="E1" s="5" t="s">
        <v>212</v>
      </c>
      <c r="F1" s="5" t="s">
        <v>213</v>
      </c>
      <c r="G1" s="5" t="s">
        <v>156</v>
      </c>
      <c r="H1" s="5" t="s">
        <v>16</v>
      </c>
    </row>
    <row r="2">
      <c r="A2" s="13" t="str">
        <f t="shared" ref="A2:A61" si="1">IF($B2="","","TH-"&amp;TEXT(ROW()-1,"000"))</f>
        <v/>
      </c>
      <c r="B2" s="14"/>
      <c r="C2" s="14"/>
      <c r="D2" s="14"/>
      <c r="E2" s="15"/>
      <c r="F2" s="14"/>
      <c r="G2" s="14"/>
      <c r="H2" s="15"/>
    </row>
    <row r="3">
      <c r="A3" s="13" t="str">
        <f t="shared" si="1"/>
        <v/>
      </c>
      <c r="B3" s="14"/>
      <c r="C3" s="14"/>
      <c r="D3" s="14"/>
      <c r="E3" s="15"/>
      <c r="F3" s="14"/>
      <c r="G3" s="14"/>
      <c r="H3" s="15"/>
    </row>
    <row r="4">
      <c r="A4" s="13" t="str">
        <f t="shared" si="1"/>
        <v/>
      </c>
      <c r="B4" s="14"/>
      <c r="C4" s="14"/>
      <c r="D4" s="14"/>
      <c r="E4" s="15"/>
      <c r="F4" s="14"/>
      <c r="G4" s="14"/>
      <c r="H4" s="15"/>
    </row>
    <row r="5">
      <c r="A5" s="13" t="str">
        <f t="shared" si="1"/>
        <v/>
      </c>
      <c r="B5" s="14"/>
      <c r="C5" s="14"/>
      <c r="D5" s="14"/>
      <c r="E5" s="15"/>
      <c r="F5" s="14"/>
      <c r="G5" s="14"/>
      <c r="H5" s="15"/>
    </row>
    <row r="6">
      <c r="A6" s="13" t="str">
        <f t="shared" si="1"/>
        <v/>
      </c>
      <c r="B6" s="14"/>
      <c r="C6" s="14"/>
      <c r="D6" s="14"/>
      <c r="E6" s="15"/>
      <c r="F6" s="14"/>
      <c r="G6" s="14"/>
      <c r="H6" s="15"/>
    </row>
    <row r="7">
      <c r="A7" s="13" t="str">
        <f t="shared" si="1"/>
        <v/>
      </c>
      <c r="B7" s="14"/>
      <c r="C7" s="14"/>
      <c r="D7" s="14"/>
      <c r="E7" s="15"/>
      <c r="F7" s="14"/>
      <c r="G7" s="14"/>
      <c r="H7" s="15"/>
    </row>
    <row r="8">
      <c r="A8" s="13" t="str">
        <f t="shared" si="1"/>
        <v/>
      </c>
      <c r="B8" s="14"/>
      <c r="C8" s="14"/>
      <c r="D8" s="14"/>
      <c r="E8" s="15"/>
      <c r="F8" s="14"/>
      <c r="G8" s="14"/>
      <c r="H8" s="15"/>
    </row>
    <row r="9">
      <c r="A9" s="13" t="str">
        <f t="shared" si="1"/>
        <v/>
      </c>
      <c r="B9" s="14"/>
      <c r="C9" s="14"/>
      <c r="D9" s="14"/>
      <c r="E9" s="15"/>
      <c r="F9" s="14"/>
      <c r="G9" s="14"/>
      <c r="H9" s="15"/>
    </row>
    <row r="10">
      <c r="A10" s="13" t="str">
        <f t="shared" si="1"/>
        <v/>
      </c>
      <c r="B10" s="14"/>
      <c r="C10" s="14"/>
      <c r="D10" s="14"/>
      <c r="E10" s="15"/>
      <c r="F10" s="14"/>
      <c r="G10" s="14"/>
      <c r="H10" s="15"/>
    </row>
    <row r="11">
      <c r="A11" s="13" t="str">
        <f t="shared" si="1"/>
        <v/>
      </c>
      <c r="B11" s="14"/>
      <c r="C11" s="14"/>
      <c r="D11" s="14"/>
      <c r="E11" s="15"/>
      <c r="F11" s="14"/>
      <c r="G11" s="14"/>
      <c r="H11" s="15"/>
    </row>
    <row r="12">
      <c r="A12" s="13" t="str">
        <f t="shared" si="1"/>
        <v/>
      </c>
      <c r="B12" s="14"/>
      <c r="C12" s="14"/>
      <c r="D12" s="14"/>
      <c r="E12" s="15"/>
      <c r="F12" s="14"/>
      <c r="G12" s="14"/>
      <c r="H12" s="15"/>
    </row>
    <row r="13">
      <c r="A13" s="13" t="str">
        <f t="shared" si="1"/>
        <v/>
      </c>
      <c r="B13" s="14"/>
      <c r="C13" s="14"/>
      <c r="D13" s="14"/>
      <c r="E13" s="15"/>
      <c r="F13" s="14"/>
      <c r="G13" s="14"/>
      <c r="H13" s="15"/>
    </row>
    <row r="14">
      <c r="A14" s="13" t="str">
        <f t="shared" si="1"/>
        <v/>
      </c>
      <c r="B14" s="14"/>
      <c r="C14" s="14"/>
      <c r="D14" s="14"/>
      <c r="E14" s="15"/>
      <c r="F14" s="14"/>
      <c r="G14" s="14"/>
      <c r="H14" s="15"/>
    </row>
    <row r="15">
      <c r="A15" s="13" t="str">
        <f t="shared" si="1"/>
        <v/>
      </c>
      <c r="B15" s="14"/>
      <c r="C15" s="14"/>
      <c r="D15" s="14"/>
      <c r="E15" s="15"/>
      <c r="F15" s="14"/>
      <c r="G15" s="14"/>
      <c r="H15" s="15"/>
    </row>
    <row r="16">
      <c r="A16" s="13" t="str">
        <f t="shared" si="1"/>
        <v/>
      </c>
      <c r="B16" s="14"/>
      <c r="C16" s="14"/>
      <c r="D16" s="14"/>
      <c r="E16" s="15"/>
      <c r="F16" s="14"/>
      <c r="G16" s="14"/>
      <c r="H16" s="15"/>
    </row>
    <row r="17">
      <c r="A17" s="13" t="str">
        <f t="shared" si="1"/>
        <v/>
      </c>
      <c r="B17" s="14"/>
      <c r="C17" s="14"/>
      <c r="D17" s="14"/>
      <c r="E17" s="15"/>
      <c r="F17" s="14"/>
      <c r="G17" s="14"/>
      <c r="H17" s="15"/>
    </row>
    <row r="18">
      <c r="A18" s="13" t="str">
        <f t="shared" si="1"/>
        <v/>
      </c>
      <c r="B18" s="14"/>
      <c r="C18" s="14"/>
      <c r="D18" s="14"/>
      <c r="E18" s="15"/>
      <c r="F18" s="14"/>
      <c r="G18" s="14"/>
      <c r="H18" s="15"/>
    </row>
    <row r="19">
      <c r="A19" s="13" t="str">
        <f t="shared" si="1"/>
        <v/>
      </c>
      <c r="B19" s="14"/>
      <c r="C19" s="14"/>
      <c r="D19" s="14"/>
      <c r="E19" s="15"/>
      <c r="F19" s="14"/>
      <c r="G19" s="14"/>
      <c r="H19" s="15"/>
    </row>
    <row r="20">
      <c r="A20" s="13" t="str">
        <f t="shared" si="1"/>
        <v/>
      </c>
      <c r="B20" s="14"/>
      <c r="C20" s="14"/>
      <c r="D20" s="14"/>
      <c r="E20" s="15"/>
      <c r="F20" s="14"/>
      <c r="G20" s="14"/>
      <c r="H20" s="15"/>
    </row>
    <row r="21" ht="15.75" customHeight="1">
      <c r="A21" s="13" t="str">
        <f t="shared" si="1"/>
        <v/>
      </c>
      <c r="B21" s="14"/>
      <c r="C21" s="14"/>
      <c r="D21" s="14"/>
      <c r="E21" s="15"/>
      <c r="F21" s="14"/>
      <c r="G21" s="14"/>
      <c r="H21" s="15"/>
    </row>
    <row r="22" ht="15.75" customHeight="1">
      <c r="A22" s="13" t="str">
        <f t="shared" si="1"/>
        <v/>
      </c>
      <c r="B22" s="14"/>
      <c r="C22" s="14"/>
      <c r="D22" s="14"/>
      <c r="E22" s="15"/>
      <c r="F22" s="14"/>
      <c r="G22" s="14"/>
      <c r="H22" s="15"/>
    </row>
    <row r="23" ht="15.75" customHeight="1">
      <c r="A23" s="13" t="str">
        <f t="shared" si="1"/>
        <v/>
      </c>
      <c r="B23" s="14"/>
      <c r="C23" s="14"/>
      <c r="D23" s="14"/>
      <c r="E23" s="15"/>
      <c r="F23" s="14"/>
      <c r="G23" s="14"/>
      <c r="H23" s="15"/>
    </row>
    <row r="24" ht="15.75" customHeight="1">
      <c r="A24" s="13" t="str">
        <f t="shared" si="1"/>
        <v/>
      </c>
      <c r="B24" s="14"/>
      <c r="C24" s="14"/>
      <c r="D24" s="14"/>
      <c r="E24" s="15"/>
      <c r="F24" s="14"/>
      <c r="G24" s="14"/>
      <c r="H24" s="15"/>
    </row>
    <row r="25" ht="15.75" customHeight="1">
      <c r="A25" s="13" t="str">
        <f t="shared" si="1"/>
        <v/>
      </c>
      <c r="B25" s="14"/>
      <c r="C25" s="14"/>
      <c r="D25" s="14"/>
      <c r="E25" s="15"/>
      <c r="F25" s="14"/>
      <c r="G25" s="14"/>
      <c r="H25" s="15"/>
    </row>
    <row r="26" ht="15.75" customHeight="1">
      <c r="A26" s="13" t="str">
        <f t="shared" si="1"/>
        <v/>
      </c>
      <c r="B26" s="14"/>
      <c r="C26" s="14"/>
      <c r="D26" s="14"/>
      <c r="E26" s="15"/>
      <c r="F26" s="14"/>
      <c r="G26" s="14"/>
      <c r="H26" s="15"/>
    </row>
    <row r="27" ht="15.75" customHeight="1">
      <c r="A27" s="13" t="str">
        <f t="shared" si="1"/>
        <v/>
      </c>
      <c r="B27" s="14"/>
      <c r="C27" s="14"/>
      <c r="D27" s="14"/>
      <c r="E27" s="15"/>
      <c r="F27" s="14"/>
      <c r="G27" s="14"/>
      <c r="H27" s="15"/>
    </row>
    <row r="28" ht="15.75" customHeight="1">
      <c r="A28" s="13" t="str">
        <f t="shared" si="1"/>
        <v/>
      </c>
      <c r="B28" s="14"/>
      <c r="C28" s="14"/>
      <c r="D28" s="14"/>
      <c r="E28" s="15"/>
      <c r="F28" s="14"/>
      <c r="G28" s="14"/>
      <c r="H28" s="15"/>
    </row>
    <row r="29" ht="15.75" customHeight="1">
      <c r="A29" s="13" t="str">
        <f t="shared" si="1"/>
        <v/>
      </c>
      <c r="B29" s="14"/>
      <c r="C29" s="14"/>
      <c r="D29" s="14"/>
      <c r="E29" s="15"/>
      <c r="F29" s="14"/>
      <c r="G29" s="14"/>
      <c r="H29" s="15"/>
    </row>
    <row r="30" ht="15.75" customHeight="1">
      <c r="A30" s="13" t="str">
        <f t="shared" si="1"/>
        <v/>
      </c>
      <c r="B30" s="14"/>
      <c r="C30" s="14"/>
      <c r="D30" s="14"/>
      <c r="E30" s="15"/>
      <c r="F30" s="14"/>
      <c r="G30" s="14"/>
      <c r="H30" s="15"/>
    </row>
    <row r="31" ht="15.75" customHeight="1">
      <c r="A31" s="13" t="str">
        <f t="shared" si="1"/>
        <v/>
      </c>
      <c r="B31" s="14"/>
      <c r="C31" s="14"/>
      <c r="D31" s="14"/>
      <c r="E31" s="15"/>
      <c r="F31" s="14"/>
      <c r="G31" s="14"/>
      <c r="H31" s="15"/>
    </row>
    <row r="32" ht="15.75" customHeight="1">
      <c r="A32" s="13" t="str">
        <f t="shared" si="1"/>
        <v/>
      </c>
      <c r="B32" s="14"/>
      <c r="C32" s="14"/>
      <c r="D32" s="14"/>
      <c r="E32" s="15"/>
      <c r="F32" s="14"/>
      <c r="G32" s="14"/>
      <c r="H32" s="15"/>
    </row>
    <row r="33" ht="15.75" customHeight="1">
      <c r="A33" s="13" t="str">
        <f t="shared" si="1"/>
        <v/>
      </c>
      <c r="B33" s="14"/>
      <c r="C33" s="14"/>
      <c r="D33" s="14"/>
      <c r="E33" s="15"/>
      <c r="F33" s="14"/>
      <c r="G33" s="14"/>
      <c r="H33" s="15"/>
    </row>
    <row r="34" ht="15.75" customHeight="1">
      <c r="A34" s="13" t="str">
        <f t="shared" si="1"/>
        <v/>
      </c>
      <c r="B34" s="14"/>
      <c r="C34" s="14"/>
      <c r="D34" s="14"/>
      <c r="E34" s="15"/>
      <c r="F34" s="14"/>
      <c r="G34" s="14"/>
      <c r="H34" s="15"/>
    </row>
    <row r="35" ht="15.75" customHeight="1">
      <c r="A35" s="13" t="str">
        <f t="shared" si="1"/>
        <v/>
      </c>
      <c r="B35" s="14"/>
      <c r="C35" s="14"/>
      <c r="D35" s="14"/>
      <c r="E35" s="15"/>
      <c r="F35" s="14"/>
      <c r="G35" s="14"/>
      <c r="H35" s="15"/>
    </row>
    <row r="36" ht="15.75" customHeight="1">
      <c r="A36" s="13" t="str">
        <f t="shared" si="1"/>
        <v/>
      </c>
      <c r="B36" s="14"/>
      <c r="C36" s="14"/>
      <c r="D36" s="14"/>
      <c r="E36" s="15"/>
      <c r="F36" s="14"/>
      <c r="G36" s="14"/>
      <c r="H36" s="15"/>
    </row>
    <row r="37" ht="15.75" customHeight="1">
      <c r="A37" s="13" t="str">
        <f t="shared" si="1"/>
        <v/>
      </c>
      <c r="B37" s="14"/>
      <c r="C37" s="14"/>
      <c r="D37" s="14"/>
      <c r="E37" s="15"/>
      <c r="F37" s="14"/>
      <c r="G37" s="14"/>
      <c r="H37" s="15"/>
    </row>
    <row r="38" ht="15.75" customHeight="1">
      <c r="A38" s="13" t="str">
        <f t="shared" si="1"/>
        <v/>
      </c>
      <c r="B38" s="14"/>
      <c r="C38" s="14"/>
      <c r="D38" s="14"/>
      <c r="E38" s="15"/>
      <c r="F38" s="14"/>
      <c r="G38" s="14"/>
      <c r="H38" s="15"/>
    </row>
    <row r="39" ht="15.75" customHeight="1">
      <c r="A39" s="13" t="str">
        <f t="shared" si="1"/>
        <v/>
      </c>
      <c r="B39" s="14"/>
      <c r="C39" s="14"/>
      <c r="D39" s="14"/>
      <c r="E39" s="15"/>
      <c r="F39" s="14"/>
      <c r="G39" s="14"/>
      <c r="H39" s="15"/>
    </row>
    <row r="40" ht="15.75" customHeight="1">
      <c r="A40" s="13" t="str">
        <f t="shared" si="1"/>
        <v/>
      </c>
      <c r="B40" s="14"/>
      <c r="C40" s="14"/>
      <c r="D40" s="14"/>
      <c r="E40" s="15"/>
      <c r="F40" s="14"/>
      <c r="G40" s="14"/>
      <c r="H40" s="15"/>
    </row>
    <row r="41" ht="15.75" customHeight="1">
      <c r="A41" s="13" t="str">
        <f t="shared" si="1"/>
        <v/>
      </c>
      <c r="B41" s="14"/>
      <c r="C41" s="14"/>
      <c r="D41" s="14"/>
      <c r="E41" s="15"/>
      <c r="F41" s="14"/>
      <c r="G41" s="14"/>
      <c r="H41" s="15"/>
    </row>
    <row r="42" ht="15.75" customHeight="1">
      <c r="A42" s="13" t="str">
        <f t="shared" si="1"/>
        <v/>
      </c>
      <c r="B42" s="14"/>
      <c r="C42" s="14"/>
      <c r="D42" s="14"/>
      <c r="E42" s="15"/>
      <c r="F42" s="14"/>
      <c r="G42" s="14"/>
      <c r="H42" s="15"/>
    </row>
    <row r="43" ht="15.75" customHeight="1">
      <c r="A43" s="13" t="str">
        <f t="shared" si="1"/>
        <v/>
      </c>
      <c r="B43" s="14"/>
      <c r="C43" s="14"/>
      <c r="D43" s="14"/>
      <c r="E43" s="15"/>
      <c r="F43" s="14"/>
      <c r="G43" s="14"/>
      <c r="H43" s="15"/>
    </row>
    <row r="44" ht="15.75" customHeight="1">
      <c r="A44" s="13" t="str">
        <f t="shared" si="1"/>
        <v/>
      </c>
      <c r="B44" s="14"/>
      <c r="C44" s="14"/>
      <c r="D44" s="14"/>
      <c r="E44" s="15"/>
      <c r="F44" s="14"/>
      <c r="G44" s="14"/>
      <c r="H44" s="15"/>
    </row>
    <row r="45" ht="15.75" customHeight="1">
      <c r="A45" s="13" t="str">
        <f t="shared" si="1"/>
        <v/>
      </c>
      <c r="B45" s="14"/>
      <c r="C45" s="14"/>
      <c r="D45" s="14"/>
      <c r="E45" s="15"/>
      <c r="F45" s="14"/>
      <c r="G45" s="14"/>
      <c r="H45" s="15"/>
    </row>
    <row r="46" ht="15.75" customHeight="1">
      <c r="A46" s="13" t="str">
        <f t="shared" si="1"/>
        <v/>
      </c>
      <c r="B46" s="14"/>
      <c r="C46" s="14"/>
      <c r="D46" s="14"/>
      <c r="E46" s="15"/>
      <c r="F46" s="14"/>
      <c r="G46" s="14"/>
      <c r="H46" s="15"/>
    </row>
    <row r="47" ht="15.75" customHeight="1">
      <c r="A47" s="13" t="str">
        <f t="shared" si="1"/>
        <v/>
      </c>
      <c r="B47" s="14"/>
      <c r="C47" s="14"/>
      <c r="D47" s="14"/>
      <c r="E47" s="15"/>
      <c r="F47" s="14"/>
      <c r="G47" s="14"/>
      <c r="H47" s="15"/>
    </row>
    <row r="48" ht="15.75" customHeight="1">
      <c r="A48" s="13" t="str">
        <f t="shared" si="1"/>
        <v/>
      </c>
      <c r="B48" s="14"/>
      <c r="C48" s="14"/>
      <c r="D48" s="14"/>
      <c r="E48" s="15"/>
      <c r="F48" s="14"/>
      <c r="G48" s="14"/>
      <c r="H48" s="15"/>
    </row>
    <row r="49" ht="15.75" customHeight="1">
      <c r="A49" s="13" t="str">
        <f t="shared" si="1"/>
        <v/>
      </c>
      <c r="B49" s="14"/>
      <c r="C49" s="14"/>
      <c r="D49" s="14"/>
      <c r="E49" s="15"/>
      <c r="F49" s="14"/>
      <c r="G49" s="14"/>
      <c r="H49" s="15"/>
    </row>
    <row r="50" ht="15.75" customHeight="1">
      <c r="A50" s="13" t="str">
        <f t="shared" si="1"/>
        <v/>
      </c>
      <c r="B50" s="14"/>
      <c r="C50" s="14"/>
      <c r="D50" s="14"/>
      <c r="E50" s="15"/>
      <c r="F50" s="14"/>
      <c r="G50" s="14"/>
      <c r="H50" s="15"/>
    </row>
    <row r="51" ht="15.75" customHeight="1">
      <c r="A51" s="13" t="str">
        <f t="shared" si="1"/>
        <v/>
      </c>
      <c r="B51" s="14"/>
      <c r="C51" s="14"/>
      <c r="D51" s="14"/>
      <c r="E51" s="15"/>
      <c r="F51" s="14"/>
      <c r="G51" s="14"/>
      <c r="H51" s="15"/>
    </row>
    <row r="52" ht="15.75" customHeight="1">
      <c r="A52" s="13" t="str">
        <f t="shared" si="1"/>
        <v/>
      </c>
      <c r="B52" s="14"/>
      <c r="C52" s="14"/>
      <c r="D52" s="14"/>
      <c r="E52" s="15"/>
      <c r="F52" s="14"/>
      <c r="G52" s="14"/>
      <c r="H52" s="15"/>
    </row>
    <row r="53" ht="15.75" customHeight="1">
      <c r="A53" s="13" t="str">
        <f t="shared" si="1"/>
        <v/>
      </c>
      <c r="B53" s="14"/>
      <c r="C53" s="14"/>
      <c r="D53" s="14"/>
      <c r="E53" s="15"/>
      <c r="F53" s="14"/>
      <c r="G53" s="14"/>
      <c r="H53" s="15"/>
    </row>
    <row r="54" ht="15.75" customHeight="1">
      <c r="A54" s="13" t="str">
        <f t="shared" si="1"/>
        <v/>
      </c>
      <c r="B54" s="14"/>
      <c r="C54" s="14"/>
      <c r="D54" s="14"/>
      <c r="E54" s="15"/>
      <c r="F54" s="14"/>
      <c r="G54" s="14"/>
      <c r="H54" s="15"/>
    </row>
    <row r="55" ht="15.75" customHeight="1">
      <c r="A55" s="13" t="str">
        <f t="shared" si="1"/>
        <v/>
      </c>
      <c r="B55" s="14"/>
      <c r="C55" s="14"/>
      <c r="D55" s="14"/>
      <c r="E55" s="15"/>
      <c r="F55" s="14"/>
      <c r="G55" s="14"/>
      <c r="H55" s="15"/>
    </row>
    <row r="56" ht="15.75" customHeight="1">
      <c r="A56" s="13" t="str">
        <f t="shared" si="1"/>
        <v/>
      </c>
      <c r="B56" s="14"/>
      <c r="C56" s="14"/>
      <c r="D56" s="14"/>
      <c r="E56" s="15"/>
      <c r="F56" s="14"/>
      <c r="G56" s="14"/>
      <c r="H56" s="15"/>
    </row>
    <row r="57" ht="15.75" customHeight="1">
      <c r="A57" s="13" t="str">
        <f t="shared" si="1"/>
        <v/>
      </c>
      <c r="B57" s="14"/>
      <c r="C57" s="14"/>
      <c r="D57" s="14"/>
      <c r="E57" s="15"/>
      <c r="F57" s="14"/>
      <c r="G57" s="14"/>
      <c r="H57" s="15"/>
    </row>
    <row r="58" ht="15.75" customHeight="1">
      <c r="A58" s="13" t="str">
        <f t="shared" si="1"/>
        <v/>
      </c>
      <c r="B58" s="14"/>
      <c r="C58" s="14"/>
      <c r="D58" s="14"/>
      <c r="E58" s="15"/>
      <c r="F58" s="14"/>
      <c r="G58" s="14"/>
      <c r="H58" s="15"/>
    </row>
    <row r="59" ht="15.75" customHeight="1">
      <c r="A59" s="13" t="str">
        <f t="shared" si="1"/>
        <v/>
      </c>
      <c r="B59" s="14"/>
      <c r="C59" s="14"/>
      <c r="D59" s="14"/>
      <c r="E59" s="15"/>
      <c r="F59" s="14"/>
      <c r="G59" s="14"/>
      <c r="H59" s="15"/>
    </row>
    <row r="60" ht="15.75" customHeight="1">
      <c r="A60" s="13" t="str">
        <f t="shared" si="1"/>
        <v/>
      </c>
      <c r="B60" s="14"/>
      <c r="C60" s="14"/>
      <c r="D60" s="14"/>
      <c r="E60" s="15"/>
      <c r="F60" s="14"/>
      <c r="G60" s="14"/>
      <c r="H60" s="15"/>
    </row>
    <row r="61" ht="15.75" customHeight="1">
      <c r="A61" s="13" t="str">
        <f t="shared" si="1"/>
        <v/>
      </c>
      <c r="B61" s="14"/>
      <c r="C61" s="14"/>
      <c r="D61" s="14"/>
      <c r="E61" s="15"/>
      <c r="F61" s="14"/>
      <c r="G61" s="14"/>
      <c r="H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E2:E61">
      <formula1>People_Roster!$A$2:$A$61</formula1>
    </dataValidation>
    <dataValidation type="list" allowBlank="1" showInputMessage="1" showErrorMessage="1" prompt="Invalid entry - Please choose a value from the dropdown list only." sqref="D2:D61">
      <formula1>Lists!$B$2:$B$3</formula1>
    </dataValidation>
    <dataValidation type="list" allowBlank="1" showInputMessage="1" showErrorMessage="1" prompt="Invalid ID - Please choose a valid source_id from Source_Registry." sqref="H2:H61">
      <formula1>Source_Registry!$A$2:$A$61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2" width="22.0"/>
    <col customWidth="1" min="23" max="26" width="8.71"/>
  </cols>
  <sheetData>
    <row r="1" ht="30.0" customHeight="1">
      <c r="A1" s="5" t="s">
        <v>214</v>
      </c>
      <c r="B1" s="5" t="s">
        <v>208</v>
      </c>
      <c r="C1" s="5" t="s">
        <v>215</v>
      </c>
      <c r="D1" s="5" t="s">
        <v>216</v>
      </c>
      <c r="E1" s="5" t="s">
        <v>217</v>
      </c>
      <c r="F1" s="5" t="s">
        <v>218</v>
      </c>
      <c r="G1" s="5" t="s">
        <v>219</v>
      </c>
      <c r="H1" s="5" t="s">
        <v>220</v>
      </c>
      <c r="I1" s="5" t="s">
        <v>221</v>
      </c>
      <c r="J1" s="5" t="s">
        <v>222</v>
      </c>
      <c r="K1" s="5" t="s">
        <v>223</v>
      </c>
      <c r="L1" s="5" t="s">
        <v>224</v>
      </c>
      <c r="M1" s="5" t="s">
        <v>225</v>
      </c>
      <c r="N1" s="5" t="s">
        <v>226</v>
      </c>
      <c r="O1" s="5" t="s">
        <v>227</v>
      </c>
      <c r="P1" s="5" t="s">
        <v>228</v>
      </c>
      <c r="Q1" s="5" t="s">
        <v>229</v>
      </c>
      <c r="R1" s="5" t="s">
        <v>230</v>
      </c>
      <c r="S1" s="5" t="s">
        <v>231</v>
      </c>
      <c r="T1" s="5" t="s">
        <v>211</v>
      </c>
      <c r="U1" s="5" t="s">
        <v>156</v>
      </c>
      <c r="V1" s="5" t="s">
        <v>16</v>
      </c>
    </row>
    <row r="2">
      <c r="A2" s="13" t="str">
        <f t="shared" ref="A2:A61" si="1">IF($B2="","","ST-"&amp;TEXT(ROW()-1,"000"))</f>
        <v/>
      </c>
      <c r="B2" s="15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3" t="str">
        <f t="shared" ref="S2:S61" si="2">IF($B2="","",IF(OR($M2="",$M2=0),"",($Q2+$R2)/$M2))</f>
        <v/>
      </c>
      <c r="T2" s="14"/>
      <c r="U2" s="14"/>
      <c r="V2" s="15"/>
    </row>
    <row r="3">
      <c r="A3" s="13" t="str">
        <f t="shared" si="1"/>
        <v/>
      </c>
      <c r="B3" s="15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3" t="str">
        <f t="shared" si="2"/>
        <v/>
      </c>
      <c r="T3" s="14"/>
      <c r="U3" s="14"/>
      <c r="V3" s="15"/>
    </row>
    <row r="4">
      <c r="A4" s="13" t="str">
        <f t="shared" si="1"/>
        <v/>
      </c>
      <c r="B4" s="15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3" t="str">
        <f t="shared" si="2"/>
        <v/>
      </c>
      <c r="T4" s="14"/>
      <c r="U4" s="14"/>
      <c r="V4" s="15"/>
    </row>
    <row r="5">
      <c r="A5" s="13" t="str">
        <f t="shared" si="1"/>
        <v/>
      </c>
      <c r="B5" s="15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3" t="str">
        <f t="shared" si="2"/>
        <v/>
      </c>
      <c r="T5" s="14"/>
      <c r="U5" s="14"/>
      <c r="V5" s="15"/>
    </row>
    <row r="6">
      <c r="A6" s="13" t="str">
        <f t="shared" si="1"/>
        <v/>
      </c>
      <c r="B6" s="15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3" t="str">
        <f t="shared" si="2"/>
        <v/>
      </c>
      <c r="T6" s="14"/>
      <c r="U6" s="14"/>
      <c r="V6" s="15"/>
    </row>
    <row r="7">
      <c r="A7" s="13" t="str">
        <f t="shared" si="1"/>
        <v/>
      </c>
      <c r="B7" s="15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3" t="str">
        <f t="shared" si="2"/>
        <v/>
      </c>
      <c r="T7" s="14"/>
      <c r="U7" s="14"/>
      <c r="V7" s="15"/>
    </row>
    <row r="8">
      <c r="A8" s="13" t="str">
        <f t="shared" si="1"/>
        <v/>
      </c>
      <c r="B8" s="15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3" t="str">
        <f t="shared" si="2"/>
        <v/>
      </c>
      <c r="T8" s="14"/>
      <c r="U8" s="14"/>
      <c r="V8" s="15"/>
    </row>
    <row r="9">
      <c r="A9" s="13" t="str">
        <f t="shared" si="1"/>
        <v/>
      </c>
      <c r="B9" s="15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3" t="str">
        <f t="shared" si="2"/>
        <v/>
      </c>
      <c r="T9" s="14"/>
      <c r="U9" s="14"/>
      <c r="V9" s="15"/>
    </row>
    <row r="10">
      <c r="A10" s="13" t="str">
        <f t="shared" si="1"/>
        <v/>
      </c>
      <c r="B10" s="15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3" t="str">
        <f t="shared" si="2"/>
        <v/>
      </c>
      <c r="T10" s="14"/>
      <c r="U10" s="14"/>
      <c r="V10" s="15"/>
    </row>
    <row r="11">
      <c r="A11" s="13" t="str">
        <f t="shared" si="1"/>
        <v/>
      </c>
      <c r="B11" s="15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3" t="str">
        <f t="shared" si="2"/>
        <v/>
      </c>
      <c r="T11" s="14"/>
      <c r="U11" s="14"/>
      <c r="V11" s="15"/>
    </row>
    <row r="12">
      <c r="A12" s="13" t="str">
        <f t="shared" si="1"/>
        <v/>
      </c>
      <c r="B12" s="15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3" t="str">
        <f t="shared" si="2"/>
        <v/>
      </c>
      <c r="T12" s="14"/>
      <c r="U12" s="14"/>
      <c r="V12" s="15"/>
    </row>
    <row r="13">
      <c r="A13" s="13" t="str">
        <f t="shared" si="1"/>
        <v/>
      </c>
      <c r="B13" s="15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3" t="str">
        <f t="shared" si="2"/>
        <v/>
      </c>
      <c r="T13" s="14"/>
      <c r="U13" s="14"/>
      <c r="V13" s="15"/>
    </row>
    <row r="14">
      <c r="A14" s="13" t="str">
        <f t="shared" si="1"/>
        <v/>
      </c>
      <c r="B14" s="15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3" t="str">
        <f t="shared" si="2"/>
        <v/>
      </c>
      <c r="T14" s="14"/>
      <c r="U14" s="14"/>
      <c r="V14" s="15"/>
    </row>
    <row r="15">
      <c r="A15" s="13" t="str">
        <f t="shared" si="1"/>
        <v/>
      </c>
      <c r="B15" s="15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3" t="str">
        <f t="shared" si="2"/>
        <v/>
      </c>
      <c r="T15" s="14"/>
      <c r="U15" s="14"/>
      <c r="V15" s="15"/>
    </row>
    <row r="16">
      <c r="A16" s="13" t="str">
        <f t="shared" si="1"/>
        <v/>
      </c>
      <c r="B16" s="15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3" t="str">
        <f t="shared" si="2"/>
        <v/>
      </c>
      <c r="T16" s="14"/>
      <c r="U16" s="14"/>
      <c r="V16" s="15"/>
    </row>
    <row r="17">
      <c r="A17" s="13" t="str">
        <f t="shared" si="1"/>
        <v/>
      </c>
      <c r="B17" s="15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3" t="str">
        <f t="shared" si="2"/>
        <v/>
      </c>
      <c r="T17" s="14"/>
      <c r="U17" s="14"/>
      <c r="V17" s="15"/>
    </row>
    <row r="18">
      <c r="A18" s="13" t="str">
        <f t="shared" si="1"/>
        <v/>
      </c>
      <c r="B18" s="15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3" t="str">
        <f t="shared" si="2"/>
        <v/>
      </c>
      <c r="T18" s="14"/>
      <c r="U18" s="14"/>
      <c r="V18" s="15"/>
    </row>
    <row r="19">
      <c r="A19" s="13" t="str">
        <f t="shared" si="1"/>
        <v/>
      </c>
      <c r="B19" s="15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3" t="str">
        <f t="shared" si="2"/>
        <v/>
      </c>
      <c r="T19" s="14"/>
      <c r="U19" s="14"/>
      <c r="V19" s="15"/>
    </row>
    <row r="20">
      <c r="A20" s="13" t="str">
        <f t="shared" si="1"/>
        <v/>
      </c>
      <c r="B20" s="15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3" t="str">
        <f t="shared" si="2"/>
        <v/>
      </c>
      <c r="T20" s="14"/>
      <c r="U20" s="14"/>
      <c r="V20" s="15"/>
    </row>
    <row r="21" ht="15.75" customHeight="1">
      <c r="A21" s="13" t="str">
        <f t="shared" si="1"/>
        <v/>
      </c>
      <c r="B21" s="15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3" t="str">
        <f t="shared" si="2"/>
        <v/>
      </c>
      <c r="T21" s="14"/>
      <c r="U21" s="14"/>
      <c r="V21" s="15"/>
    </row>
    <row r="22" ht="15.75" customHeight="1">
      <c r="A22" s="13" t="str">
        <f t="shared" si="1"/>
        <v/>
      </c>
      <c r="B22" s="15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3" t="str">
        <f t="shared" si="2"/>
        <v/>
      </c>
      <c r="T22" s="14"/>
      <c r="U22" s="14"/>
      <c r="V22" s="15"/>
    </row>
    <row r="23" ht="15.75" customHeight="1">
      <c r="A23" s="13" t="str">
        <f t="shared" si="1"/>
        <v/>
      </c>
      <c r="B23" s="15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3" t="str">
        <f t="shared" si="2"/>
        <v/>
      </c>
      <c r="T23" s="14"/>
      <c r="U23" s="14"/>
      <c r="V23" s="15"/>
    </row>
    <row r="24" ht="15.75" customHeight="1">
      <c r="A24" s="13" t="str">
        <f t="shared" si="1"/>
        <v/>
      </c>
      <c r="B24" s="15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3" t="str">
        <f t="shared" si="2"/>
        <v/>
      </c>
      <c r="T24" s="14"/>
      <c r="U24" s="14"/>
      <c r="V24" s="15"/>
    </row>
    <row r="25" ht="15.75" customHeight="1">
      <c r="A25" s="13" t="str">
        <f t="shared" si="1"/>
        <v/>
      </c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3" t="str">
        <f t="shared" si="2"/>
        <v/>
      </c>
      <c r="T25" s="14"/>
      <c r="U25" s="14"/>
      <c r="V25" s="15"/>
    </row>
    <row r="26" ht="15.75" customHeight="1">
      <c r="A26" s="13" t="str">
        <f t="shared" si="1"/>
        <v/>
      </c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3" t="str">
        <f t="shared" si="2"/>
        <v/>
      </c>
      <c r="T26" s="14"/>
      <c r="U26" s="14"/>
      <c r="V26" s="15"/>
    </row>
    <row r="27" ht="15.75" customHeight="1">
      <c r="A27" s="13" t="str">
        <f t="shared" si="1"/>
        <v/>
      </c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3" t="str">
        <f t="shared" si="2"/>
        <v/>
      </c>
      <c r="T27" s="14"/>
      <c r="U27" s="14"/>
      <c r="V27" s="15"/>
    </row>
    <row r="28" ht="15.75" customHeight="1">
      <c r="A28" s="13" t="str">
        <f t="shared" si="1"/>
        <v/>
      </c>
      <c r="B28" s="15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3" t="str">
        <f t="shared" si="2"/>
        <v/>
      </c>
      <c r="T28" s="14"/>
      <c r="U28" s="14"/>
      <c r="V28" s="15"/>
    </row>
    <row r="29" ht="15.75" customHeight="1">
      <c r="A29" s="13" t="str">
        <f t="shared" si="1"/>
        <v/>
      </c>
      <c r="B29" s="15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3" t="str">
        <f t="shared" si="2"/>
        <v/>
      </c>
      <c r="T29" s="14"/>
      <c r="U29" s="14"/>
      <c r="V29" s="15"/>
    </row>
    <row r="30" ht="15.75" customHeight="1">
      <c r="A30" s="13" t="str">
        <f t="shared" si="1"/>
        <v/>
      </c>
      <c r="B30" s="15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3" t="str">
        <f t="shared" si="2"/>
        <v/>
      </c>
      <c r="T30" s="14"/>
      <c r="U30" s="14"/>
      <c r="V30" s="15"/>
    </row>
    <row r="31" ht="15.75" customHeight="1">
      <c r="A31" s="13" t="str">
        <f t="shared" si="1"/>
        <v/>
      </c>
      <c r="B31" s="15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3" t="str">
        <f t="shared" si="2"/>
        <v/>
      </c>
      <c r="T31" s="14"/>
      <c r="U31" s="14"/>
      <c r="V31" s="15"/>
    </row>
    <row r="32" ht="15.75" customHeight="1">
      <c r="A32" s="13" t="str">
        <f t="shared" si="1"/>
        <v/>
      </c>
      <c r="B32" s="15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3" t="str">
        <f t="shared" si="2"/>
        <v/>
      </c>
      <c r="T32" s="14"/>
      <c r="U32" s="14"/>
      <c r="V32" s="15"/>
    </row>
    <row r="33" ht="15.75" customHeight="1">
      <c r="A33" s="13" t="str">
        <f t="shared" si="1"/>
        <v/>
      </c>
      <c r="B33" s="15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3" t="str">
        <f t="shared" si="2"/>
        <v/>
      </c>
      <c r="T33" s="14"/>
      <c r="U33" s="14"/>
      <c r="V33" s="15"/>
    </row>
    <row r="34" ht="15.75" customHeight="1">
      <c r="A34" s="13" t="str">
        <f t="shared" si="1"/>
        <v/>
      </c>
      <c r="B34" s="15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3" t="str">
        <f t="shared" si="2"/>
        <v/>
      </c>
      <c r="T34" s="14"/>
      <c r="U34" s="14"/>
      <c r="V34" s="15"/>
    </row>
    <row r="35" ht="15.75" customHeight="1">
      <c r="A35" s="13" t="str">
        <f t="shared" si="1"/>
        <v/>
      </c>
      <c r="B35" s="15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3" t="str">
        <f t="shared" si="2"/>
        <v/>
      </c>
      <c r="T35" s="14"/>
      <c r="U35" s="14"/>
      <c r="V35" s="15"/>
    </row>
    <row r="36" ht="15.75" customHeight="1">
      <c r="A36" s="13" t="str">
        <f t="shared" si="1"/>
        <v/>
      </c>
      <c r="B36" s="15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3" t="str">
        <f t="shared" si="2"/>
        <v/>
      </c>
      <c r="T36" s="14"/>
      <c r="U36" s="14"/>
      <c r="V36" s="15"/>
    </row>
    <row r="37" ht="15.75" customHeight="1">
      <c r="A37" s="13" t="str">
        <f t="shared" si="1"/>
        <v/>
      </c>
      <c r="B37" s="15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3" t="str">
        <f t="shared" si="2"/>
        <v/>
      </c>
      <c r="T37" s="14"/>
      <c r="U37" s="14"/>
      <c r="V37" s="15"/>
    </row>
    <row r="38" ht="15.75" customHeight="1">
      <c r="A38" s="13" t="str">
        <f t="shared" si="1"/>
        <v/>
      </c>
      <c r="B38" s="15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3" t="str">
        <f t="shared" si="2"/>
        <v/>
      </c>
      <c r="T38" s="14"/>
      <c r="U38" s="14"/>
      <c r="V38" s="15"/>
    </row>
    <row r="39" ht="15.75" customHeight="1">
      <c r="A39" s="13" t="str">
        <f t="shared" si="1"/>
        <v/>
      </c>
      <c r="B39" s="15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3" t="str">
        <f t="shared" si="2"/>
        <v/>
      </c>
      <c r="T39" s="14"/>
      <c r="U39" s="14"/>
      <c r="V39" s="15"/>
    </row>
    <row r="40" ht="15.75" customHeight="1">
      <c r="A40" s="13" t="str">
        <f t="shared" si="1"/>
        <v/>
      </c>
      <c r="B40" s="15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3" t="str">
        <f t="shared" si="2"/>
        <v/>
      </c>
      <c r="T40" s="14"/>
      <c r="U40" s="14"/>
      <c r="V40" s="15"/>
    </row>
    <row r="41" ht="15.75" customHeight="1">
      <c r="A41" s="13" t="str">
        <f t="shared" si="1"/>
        <v/>
      </c>
      <c r="B41" s="15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3" t="str">
        <f t="shared" si="2"/>
        <v/>
      </c>
      <c r="T41" s="14"/>
      <c r="U41" s="14"/>
      <c r="V41" s="15"/>
    </row>
    <row r="42" ht="15.75" customHeight="1">
      <c r="A42" s="13" t="str">
        <f t="shared" si="1"/>
        <v/>
      </c>
      <c r="B42" s="15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3" t="str">
        <f t="shared" si="2"/>
        <v/>
      </c>
      <c r="T42" s="14"/>
      <c r="U42" s="14"/>
      <c r="V42" s="15"/>
    </row>
    <row r="43" ht="15.75" customHeight="1">
      <c r="A43" s="13" t="str">
        <f t="shared" si="1"/>
        <v/>
      </c>
      <c r="B43" s="15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3" t="str">
        <f t="shared" si="2"/>
        <v/>
      </c>
      <c r="T43" s="14"/>
      <c r="U43" s="14"/>
      <c r="V43" s="15"/>
    </row>
    <row r="44" ht="15.75" customHeight="1">
      <c r="A44" s="13" t="str">
        <f t="shared" si="1"/>
        <v/>
      </c>
      <c r="B44" s="15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3" t="str">
        <f t="shared" si="2"/>
        <v/>
      </c>
      <c r="T44" s="14"/>
      <c r="U44" s="14"/>
      <c r="V44" s="15"/>
    </row>
    <row r="45" ht="15.75" customHeight="1">
      <c r="A45" s="13" t="str">
        <f t="shared" si="1"/>
        <v/>
      </c>
      <c r="B45" s="15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3" t="str">
        <f t="shared" si="2"/>
        <v/>
      </c>
      <c r="T45" s="14"/>
      <c r="U45" s="14"/>
      <c r="V45" s="15"/>
    </row>
    <row r="46" ht="15.75" customHeight="1">
      <c r="A46" s="13" t="str">
        <f t="shared" si="1"/>
        <v/>
      </c>
      <c r="B46" s="15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3" t="str">
        <f t="shared" si="2"/>
        <v/>
      </c>
      <c r="T46" s="14"/>
      <c r="U46" s="14"/>
      <c r="V46" s="15"/>
    </row>
    <row r="47" ht="15.75" customHeight="1">
      <c r="A47" s="13" t="str">
        <f t="shared" si="1"/>
        <v/>
      </c>
      <c r="B47" s="15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3" t="str">
        <f t="shared" si="2"/>
        <v/>
      </c>
      <c r="T47" s="14"/>
      <c r="U47" s="14"/>
      <c r="V47" s="15"/>
    </row>
    <row r="48" ht="15.75" customHeight="1">
      <c r="A48" s="13" t="str">
        <f t="shared" si="1"/>
        <v/>
      </c>
      <c r="B48" s="15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3" t="str">
        <f t="shared" si="2"/>
        <v/>
      </c>
      <c r="T48" s="14"/>
      <c r="U48" s="14"/>
      <c r="V48" s="15"/>
    </row>
    <row r="49" ht="15.75" customHeight="1">
      <c r="A49" s="13" t="str">
        <f t="shared" si="1"/>
        <v/>
      </c>
      <c r="B49" s="15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3" t="str">
        <f t="shared" si="2"/>
        <v/>
      </c>
      <c r="T49" s="14"/>
      <c r="U49" s="14"/>
      <c r="V49" s="15"/>
    </row>
    <row r="50" ht="15.75" customHeight="1">
      <c r="A50" s="13" t="str">
        <f t="shared" si="1"/>
        <v/>
      </c>
      <c r="B50" s="15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3" t="str">
        <f t="shared" si="2"/>
        <v/>
      </c>
      <c r="T50" s="14"/>
      <c r="U50" s="14"/>
      <c r="V50" s="15"/>
    </row>
    <row r="51" ht="15.75" customHeight="1">
      <c r="A51" s="13" t="str">
        <f t="shared" si="1"/>
        <v/>
      </c>
      <c r="B51" s="15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3" t="str">
        <f t="shared" si="2"/>
        <v/>
      </c>
      <c r="T51" s="14"/>
      <c r="U51" s="14"/>
      <c r="V51" s="15"/>
    </row>
    <row r="52" ht="15.75" customHeight="1">
      <c r="A52" s="13" t="str">
        <f t="shared" si="1"/>
        <v/>
      </c>
      <c r="B52" s="15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3" t="str">
        <f t="shared" si="2"/>
        <v/>
      </c>
      <c r="T52" s="14"/>
      <c r="U52" s="14"/>
      <c r="V52" s="15"/>
    </row>
    <row r="53" ht="15.75" customHeight="1">
      <c r="A53" s="13" t="str">
        <f t="shared" si="1"/>
        <v/>
      </c>
      <c r="B53" s="15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3" t="str">
        <f t="shared" si="2"/>
        <v/>
      </c>
      <c r="T53" s="14"/>
      <c r="U53" s="14"/>
      <c r="V53" s="15"/>
    </row>
    <row r="54" ht="15.75" customHeight="1">
      <c r="A54" s="13" t="str">
        <f t="shared" si="1"/>
        <v/>
      </c>
      <c r="B54" s="15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3" t="str">
        <f t="shared" si="2"/>
        <v/>
      </c>
      <c r="T54" s="14"/>
      <c r="U54" s="14"/>
      <c r="V54" s="15"/>
    </row>
    <row r="55" ht="15.75" customHeight="1">
      <c r="A55" s="13" t="str">
        <f t="shared" si="1"/>
        <v/>
      </c>
      <c r="B55" s="15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3" t="str">
        <f t="shared" si="2"/>
        <v/>
      </c>
      <c r="T55" s="14"/>
      <c r="U55" s="14"/>
      <c r="V55" s="15"/>
    </row>
    <row r="56" ht="15.75" customHeight="1">
      <c r="A56" s="13" t="str">
        <f t="shared" si="1"/>
        <v/>
      </c>
      <c r="B56" s="15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3" t="str">
        <f t="shared" si="2"/>
        <v/>
      </c>
      <c r="T56" s="14"/>
      <c r="U56" s="14"/>
      <c r="V56" s="15"/>
    </row>
    <row r="57" ht="15.75" customHeight="1">
      <c r="A57" s="13" t="str">
        <f t="shared" si="1"/>
        <v/>
      </c>
      <c r="B57" s="15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3" t="str">
        <f t="shared" si="2"/>
        <v/>
      </c>
      <c r="T57" s="14"/>
      <c r="U57" s="14"/>
      <c r="V57" s="15"/>
    </row>
    <row r="58" ht="15.75" customHeight="1">
      <c r="A58" s="13" t="str">
        <f t="shared" si="1"/>
        <v/>
      </c>
      <c r="B58" s="15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3" t="str">
        <f t="shared" si="2"/>
        <v/>
      </c>
      <c r="T58" s="14"/>
      <c r="U58" s="14"/>
      <c r="V58" s="15"/>
    </row>
    <row r="59" ht="15.75" customHeight="1">
      <c r="A59" s="13" t="str">
        <f t="shared" si="1"/>
        <v/>
      </c>
      <c r="B59" s="15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3" t="str">
        <f t="shared" si="2"/>
        <v/>
      </c>
      <c r="T59" s="14"/>
      <c r="U59" s="14"/>
      <c r="V59" s="15"/>
    </row>
    <row r="60" ht="15.75" customHeight="1">
      <c r="A60" s="13" t="str">
        <f t="shared" si="1"/>
        <v/>
      </c>
      <c r="B60" s="15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3" t="str">
        <f t="shared" si="2"/>
        <v/>
      </c>
      <c r="T60" s="14"/>
      <c r="U60" s="14"/>
      <c r="V60" s="15"/>
    </row>
    <row r="61" ht="15.75" customHeight="1">
      <c r="A61" s="13" t="str">
        <f t="shared" si="1"/>
        <v/>
      </c>
      <c r="B61" s="15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3" t="str">
        <f t="shared" si="2"/>
        <v/>
      </c>
      <c r="T61" s="14"/>
      <c r="U61" s="14"/>
      <c r="V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J2:J61">
      <formula1>Lists!$E$2:$E$6</formula1>
    </dataValidation>
    <dataValidation type="list" allowBlank="1" showInputMessage="1" showErrorMessage="1" prompt="Invalid entry - Please choose a value from the dropdown list only." sqref="G2:G61">
      <formula1>Lists!$D$2:$D$3</formula1>
    </dataValidation>
    <dataValidation type="list" allowBlank="1" showInputMessage="1" showErrorMessage="1" prompt="Invalid entry - Please choose a value from the dropdown list only." sqref="T2:T61">
      <formula1>Lists!$B$2:$B$3</formula1>
    </dataValidation>
    <dataValidation type="list" allowBlank="1" showInputMessage="1" showErrorMessage="1" prompt="Invalid ID - Please choose a valid theatre_id from Theatre_Master." sqref="B2:B61">
      <formula1>Theatre_Master!$A$2:$A$61</formula1>
    </dataValidation>
    <dataValidation type="list" allowBlank="1" showInputMessage="1" showErrorMessage="1" prompt="Invalid ID - Please choose a valid source_id from Source_Registry." sqref="V2:V61">
      <formula1>Source_Registry!$A$2:$A$61</formula1>
    </dataValidation>
    <dataValidation type="list" allowBlank="1" showInputMessage="1" showErrorMessage="1" prompt="Invalid entry - Please choose a value from the dropdown list only." sqref="H2:H61">
      <formula1>Lists!$C$2:$C$3</formula1>
    </dataValidation>
    <dataValidation type="list" allowBlank="1" showInputMessage="1" showErrorMessage="1" prompt="Invalid entry - Please choose a value from the dropdown list only." sqref="K2:K61">
      <formula1>Lists!$F$2:$F$5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4" width="22.0"/>
    <col customWidth="1" min="15" max="26" width="8.71"/>
  </cols>
  <sheetData>
    <row r="1" ht="30.0" customHeight="1">
      <c r="A1" s="5" t="s">
        <v>232</v>
      </c>
      <c r="B1" s="5" t="s">
        <v>233</v>
      </c>
      <c r="C1" s="5" t="s">
        <v>234</v>
      </c>
      <c r="D1" s="5" t="s">
        <v>235</v>
      </c>
      <c r="E1" s="5" t="s">
        <v>208</v>
      </c>
      <c r="F1" s="5" t="s">
        <v>214</v>
      </c>
      <c r="G1" s="5" t="s">
        <v>236</v>
      </c>
      <c r="H1" s="5" t="s">
        <v>237</v>
      </c>
      <c r="I1" s="5" t="s">
        <v>238</v>
      </c>
      <c r="J1" s="5" t="s">
        <v>239</v>
      </c>
      <c r="K1" s="5" t="s">
        <v>240</v>
      </c>
      <c r="L1" s="5" t="s">
        <v>241</v>
      </c>
      <c r="M1" s="5" t="s">
        <v>242</v>
      </c>
      <c r="N1" s="5" t="s">
        <v>156</v>
      </c>
    </row>
    <row r="2">
      <c r="A2" s="13" t="str">
        <f t="shared" ref="A2:A61" si="1">IF($B2="","","ACT-"&amp;TEXT(ROW()-1,"000"))</f>
        <v/>
      </c>
      <c r="B2" s="14"/>
      <c r="C2" s="14"/>
      <c r="D2" s="14"/>
      <c r="E2" s="15"/>
      <c r="F2" s="15"/>
      <c r="G2" s="15"/>
      <c r="H2" s="14"/>
      <c r="I2" s="14"/>
      <c r="J2" s="14"/>
      <c r="K2" s="14"/>
      <c r="L2" s="14"/>
      <c r="M2" s="13" t="str">
        <f t="shared" ref="M2:M61" si="2">IF($B2="","",IF($L2="","",$L2+TIME(1,0,0)))</f>
        <v/>
      </c>
      <c r="N2" s="14"/>
    </row>
    <row r="3">
      <c r="A3" s="13" t="str">
        <f t="shared" si="1"/>
        <v/>
      </c>
      <c r="B3" s="14"/>
      <c r="C3" s="14"/>
      <c r="D3" s="14"/>
      <c r="E3" s="15"/>
      <c r="F3" s="15"/>
      <c r="G3" s="15"/>
      <c r="H3" s="14"/>
      <c r="I3" s="14"/>
      <c r="J3" s="14"/>
      <c r="K3" s="14"/>
      <c r="L3" s="14"/>
      <c r="M3" s="13" t="str">
        <f t="shared" si="2"/>
        <v/>
      </c>
      <c r="N3" s="14"/>
    </row>
    <row r="4">
      <c r="A4" s="13" t="str">
        <f t="shared" si="1"/>
        <v/>
      </c>
      <c r="B4" s="14"/>
      <c r="C4" s="14"/>
      <c r="D4" s="14"/>
      <c r="E4" s="15"/>
      <c r="F4" s="15"/>
      <c r="G4" s="15"/>
      <c r="H4" s="14"/>
      <c r="I4" s="14"/>
      <c r="J4" s="14"/>
      <c r="K4" s="14"/>
      <c r="L4" s="14"/>
      <c r="M4" s="13" t="str">
        <f t="shared" si="2"/>
        <v/>
      </c>
      <c r="N4" s="14"/>
    </row>
    <row r="5">
      <c r="A5" s="13" t="str">
        <f t="shared" si="1"/>
        <v/>
      </c>
      <c r="B5" s="14"/>
      <c r="C5" s="14"/>
      <c r="D5" s="14"/>
      <c r="E5" s="15"/>
      <c r="F5" s="15"/>
      <c r="G5" s="15"/>
      <c r="H5" s="14"/>
      <c r="I5" s="14"/>
      <c r="J5" s="14"/>
      <c r="K5" s="14"/>
      <c r="L5" s="14"/>
      <c r="M5" s="13" t="str">
        <f t="shared" si="2"/>
        <v/>
      </c>
      <c r="N5" s="14"/>
    </row>
    <row r="6">
      <c r="A6" s="13" t="str">
        <f t="shared" si="1"/>
        <v/>
      </c>
      <c r="B6" s="14"/>
      <c r="C6" s="14"/>
      <c r="D6" s="14"/>
      <c r="E6" s="15"/>
      <c r="F6" s="15"/>
      <c r="G6" s="15"/>
      <c r="H6" s="14"/>
      <c r="I6" s="14"/>
      <c r="J6" s="14"/>
      <c r="K6" s="14"/>
      <c r="L6" s="14"/>
      <c r="M6" s="13" t="str">
        <f t="shared" si="2"/>
        <v/>
      </c>
      <c r="N6" s="14"/>
    </row>
    <row r="7">
      <c r="A7" s="13" t="str">
        <f t="shared" si="1"/>
        <v/>
      </c>
      <c r="B7" s="14"/>
      <c r="C7" s="14"/>
      <c r="D7" s="14"/>
      <c r="E7" s="15"/>
      <c r="F7" s="15"/>
      <c r="G7" s="15"/>
      <c r="H7" s="14"/>
      <c r="I7" s="14"/>
      <c r="J7" s="14"/>
      <c r="K7" s="14"/>
      <c r="L7" s="14"/>
      <c r="M7" s="13" t="str">
        <f t="shared" si="2"/>
        <v/>
      </c>
      <c r="N7" s="14"/>
    </row>
    <row r="8">
      <c r="A8" s="13" t="str">
        <f t="shared" si="1"/>
        <v/>
      </c>
      <c r="B8" s="14"/>
      <c r="C8" s="14"/>
      <c r="D8" s="14"/>
      <c r="E8" s="15"/>
      <c r="F8" s="15"/>
      <c r="G8" s="15"/>
      <c r="H8" s="14"/>
      <c r="I8" s="14"/>
      <c r="J8" s="14"/>
      <c r="K8" s="14"/>
      <c r="L8" s="14"/>
      <c r="M8" s="13" t="str">
        <f t="shared" si="2"/>
        <v/>
      </c>
      <c r="N8" s="14"/>
    </row>
    <row r="9">
      <c r="A9" s="13" t="str">
        <f t="shared" si="1"/>
        <v/>
      </c>
      <c r="B9" s="14"/>
      <c r="C9" s="14"/>
      <c r="D9" s="14"/>
      <c r="E9" s="15"/>
      <c r="F9" s="15"/>
      <c r="G9" s="15"/>
      <c r="H9" s="14"/>
      <c r="I9" s="14"/>
      <c r="J9" s="14"/>
      <c r="K9" s="14"/>
      <c r="L9" s="14"/>
      <c r="M9" s="13" t="str">
        <f t="shared" si="2"/>
        <v/>
      </c>
      <c r="N9" s="14"/>
    </row>
    <row r="10">
      <c r="A10" s="13" t="str">
        <f t="shared" si="1"/>
        <v/>
      </c>
      <c r="B10" s="14"/>
      <c r="C10" s="14"/>
      <c r="D10" s="14"/>
      <c r="E10" s="15"/>
      <c r="F10" s="15"/>
      <c r="G10" s="15"/>
      <c r="H10" s="14"/>
      <c r="I10" s="14"/>
      <c r="J10" s="14"/>
      <c r="K10" s="14"/>
      <c r="L10" s="14"/>
      <c r="M10" s="13" t="str">
        <f t="shared" si="2"/>
        <v/>
      </c>
      <c r="N10" s="14"/>
    </row>
    <row r="11">
      <c r="A11" s="13" t="str">
        <f t="shared" si="1"/>
        <v/>
      </c>
      <c r="B11" s="14"/>
      <c r="C11" s="14"/>
      <c r="D11" s="14"/>
      <c r="E11" s="15"/>
      <c r="F11" s="15"/>
      <c r="G11" s="15"/>
      <c r="H11" s="14"/>
      <c r="I11" s="14"/>
      <c r="J11" s="14"/>
      <c r="K11" s="14"/>
      <c r="L11" s="14"/>
      <c r="M11" s="13" t="str">
        <f t="shared" si="2"/>
        <v/>
      </c>
      <c r="N11" s="14"/>
    </row>
    <row r="12">
      <c r="A12" s="13" t="str">
        <f t="shared" si="1"/>
        <v/>
      </c>
      <c r="B12" s="14"/>
      <c r="C12" s="14"/>
      <c r="D12" s="14"/>
      <c r="E12" s="15"/>
      <c r="F12" s="15"/>
      <c r="G12" s="15"/>
      <c r="H12" s="14"/>
      <c r="I12" s="14"/>
      <c r="J12" s="14"/>
      <c r="K12" s="14"/>
      <c r="L12" s="14"/>
      <c r="M12" s="13" t="str">
        <f t="shared" si="2"/>
        <v/>
      </c>
      <c r="N12" s="14"/>
    </row>
    <row r="13">
      <c r="A13" s="13" t="str">
        <f t="shared" si="1"/>
        <v/>
      </c>
      <c r="B13" s="14"/>
      <c r="C13" s="14"/>
      <c r="D13" s="14"/>
      <c r="E13" s="15"/>
      <c r="F13" s="15"/>
      <c r="G13" s="15"/>
      <c r="H13" s="14"/>
      <c r="I13" s="14"/>
      <c r="J13" s="14"/>
      <c r="K13" s="14"/>
      <c r="L13" s="14"/>
      <c r="M13" s="13" t="str">
        <f t="shared" si="2"/>
        <v/>
      </c>
      <c r="N13" s="14"/>
    </row>
    <row r="14">
      <c r="A14" s="13" t="str">
        <f t="shared" si="1"/>
        <v/>
      </c>
      <c r="B14" s="14"/>
      <c r="C14" s="14"/>
      <c r="D14" s="14"/>
      <c r="E14" s="15"/>
      <c r="F14" s="15"/>
      <c r="G14" s="15"/>
      <c r="H14" s="14"/>
      <c r="I14" s="14"/>
      <c r="J14" s="14"/>
      <c r="K14" s="14"/>
      <c r="L14" s="14"/>
      <c r="M14" s="13" t="str">
        <f t="shared" si="2"/>
        <v/>
      </c>
      <c r="N14" s="14"/>
    </row>
    <row r="15">
      <c r="A15" s="13" t="str">
        <f t="shared" si="1"/>
        <v/>
      </c>
      <c r="B15" s="14"/>
      <c r="C15" s="14"/>
      <c r="D15" s="14"/>
      <c r="E15" s="15"/>
      <c r="F15" s="15"/>
      <c r="G15" s="15"/>
      <c r="H15" s="14"/>
      <c r="I15" s="14"/>
      <c r="J15" s="14"/>
      <c r="K15" s="14"/>
      <c r="L15" s="14"/>
      <c r="M15" s="13" t="str">
        <f t="shared" si="2"/>
        <v/>
      </c>
      <c r="N15" s="14"/>
    </row>
    <row r="16">
      <c r="A16" s="13" t="str">
        <f t="shared" si="1"/>
        <v/>
      </c>
      <c r="B16" s="14"/>
      <c r="C16" s="14"/>
      <c r="D16" s="14"/>
      <c r="E16" s="15"/>
      <c r="F16" s="15"/>
      <c r="G16" s="15"/>
      <c r="H16" s="14"/>
      <c r="I16" s="14"/>
      <c r="J16" s="14"/>
      <c r="K16" s="14"/>
      <c r="L16" s="14"/>
      <c r="M16" s="13" t="str">
        <f t="shared" si="2"/>
        <v/>
      </c>
      <c r="N16" s="14"/>
    </row>
    <row r="17">
      <c r="A17" s="13" t="str">
        <f t="shared" si="1"/>
        <v/>
      </c>
      <c r="B17" s="14"/>
      <c r="C17" s="14"/>
      <c r="D17" s="14"/>
      <c r="E17" s="15"/>
      <c r="F17" s="15"/>
      <c r="G17" s="15"/>
      <c r="H17" s="14"/>
      <c r="I17" s="14"/>
      <c r="J17" s="14"/>
      <c r="K17" s="14"/>
      <c r="L17" s="14"/>
      <c r="M17" s="13" t="str">
        <f t="shared" si="2"/>
        <v/>
      </c>
      <c r="N17" s="14"/>
    </row>
    <row r="18">
      <c r="A18" s="13" t="str">
        <f t="shared" si="1"/>
        <v/>
      </c>
      <c r="B18" s="14"/>
      <c r="C18" s="14"/>
      <c r="D18" s="14"/>
      <c r="E18" s="15"/>
      <c r="F18" s="15"/>
      <c r="G18" s="15"/>
      <c r="H18" s="14"/>
      <c r="I18" s="14"/>
      <c r="J18" s="14"/>
      <c r="K18" s="14"/>
      <c r="L18" s="14"/>
      <c r="M18" s="13" t="str">
        <f t="shared" si="2"/>
        <v/>
      </c>
      <c r="N18" s="14"/>
    </row>
    <row r="19">
      <c r="A19" s="13" t="str">
        <f t="shared" si="1"/>
        <v/>
      </c>
      <c r="B19" s="14"/>
      <c r="C19" s="14"/>
      <c r="D19" s="14"/>
      <c r="E19" s="15"/>
      <c r="F19" s="15"/>
      <c r="G19" s="15"/>
      <c r="H19" s="14"/>
      <c r="I19" s="14"/>
      <c r="J19" s="14"/>
      <c r="K19" s="14"/>
      <c r="L19" s="14"/>
      <c r="M19" s="13" t="str">
        <f t="shared" si="2"/>
        <v/>
      </c>
      <c r="N19" s="14"/>
    </row>
    <row r="20">
      <c r="A20" s="13" t="str">
        <f t="shared" si="1"/>
        <v/>
      </c>
      <c r="B20" s="14"/>
      <c r="C20" s="14"/>
      <c r="D20" s="14"/>
      <c r="E20" s="15"/>
      <c r="F20" s="15"/>
      <c r="G20" s="15"/>
      <c r="H20" s="14"/>
      <c r="I20" s="14"/>
      <c r="J20" s="14"/>
      <c r="K20" s="14"/>
      <c r="L20" s="14"/>
      <c r="M20" s="13" t="str">
        <f t="shared" si="2"/>
        <v/>
      </c>
      <c r="N20" s="14"/>
    </row>
    <row r="21" ht="15.75" customHeight="1">
      <c r="A21" s="13" t="str">
        <f t="shared" si="1"/>
        <v/>
      </c>
      <c r="B21" s="14"/>
      <c r="C21" s="14"/>
      <c r="D21" s="14"/>
      <c r="E21" s="15"/>
      <c r="F21" s="15"/>
      <c r="G21" s="15"/>
      <c r="H21" s="14"/>
      <c r="I21" s="14"/>
      <c r="J21" s="14"/>
      <c r="K21" s="14"/>
      <c r="L21" s="14"/>
      <c r="M21" s="13" t="str">
        <f t="shared" si="2"/>
        <v/>
      </c>
      <c r="N21" s="14"/>
    </row>
    <row r="22" ht="15.75" customHeight="1">
      <c r="A22" s="13" t="str">
        <f t="shared" si="1"/>
        <v/>
      </c>
      <c r="B22" s="14"/>
      <c r="C22" s="14"/>
      <c r="D22" s="14"/>
      <c r="E22" s="15"/>
      <c r="F22" s="15"/>
      <c r="G22" s="15"/>
      <c r="H22" s="14"/>
      <c r="I22" s="14"/>
      <c r="J22" s="14"/>
      <c r="K22" s="14"/>
      <c r="L22" s="14"/>
      <c r="M22" s="13" t="str">
        <f t="shared" si="2"/>
        <v/>
      </c>
      <c r="N22" s="14"/>
    </row>
    <row r="23" ht="15.75" customHeight="1">
      <c r="A23" s="13" t="str">
        <f t="shared" si="1"/>
        <v/>
      </c>
      <c r="B23" s="14"/>
      <c r="C23" s="14"/>
      <c r="D23" s="14"/>
      <c r="E23" s="15"/>
      <c r="F23" s="15"/>
      <c r="G23" s="15"/>
      <c r="H23" s="14"/>
      <c r="I23" s="14"/>
      <c r="J23" s="14"/>
      <c r="K23" s="14"/>
      <c r="L23" s="14"/>
      <c r="M23" s="13" t="str">
        <f t="shared" si="2"/>
        <v/>
      </c>
      <c r="N23" s="14"/>
    </row>
    <row r="24" ht="15.75" customHeight="1">
      <c r="A24" s="13" t="str">
        <f t="shared" si="1"/>
        <v/>
      </c>
      <c r="B24" s="14"/>
      <c r="C24" s="14"/>
      <c r="D24" s="14"/>
      <c r="E24" s="15"/>
      <c r="F24" s="15"/>
      <c r="G24" s="15"/>
      <c r="H24" s="14"/>
      <c r="I24" s="14"/>
      <c r="J24" s="14"/>
      <c r="K24" s="14"/>
      <c r="L24" s="14"/>
      <c r="M24" s="13" t="str">
        <f t="shared" si="2"/>
        <v/>
      </c>
      <c r="N24" s="14"/>
    </row>
    <row r="25" ht="15.75" customHeight="1">
      <c r="A25" s="13" t="str">
        <f t="shared" si="1"/>
        <v/>
      </c>
      <c r="B25" s="14"/>
      <c r="C25" s="14"/>
      <c r="D25" s="14"/>
      <c r="E25" s="15"/>
      <c r="F25" s="15"/>
      <c r="G25" s="15"/>
      <c r="H25" s="14"/>
      <c r="I25" s="14"/>
      <c r="J25" s="14"/>
      <c r="K25" s="14"/>
      <c r="L25" s="14"/>
      <c r="M25" s="13" t="str">
        <f t="shared" si="2"/>
        <v/>
      </c>
      <c r="N25" s="14"/>
    </row>
    <row r="26" ht="15.75" customHeight="1">
      <c r="A26" s="13" t="str">
        <f t="shared" si="1"/>
        <v/>
      </c>
      <c r="B26" s="14"/>
      <c r="C26" s="14"/>
      <c r="D26" s="14"/>
      <c r="E26" s="15"/>
      <c r="F26" s="15"/>
      <c r="G26" s="15"/>
      <c r="H26" s="14"/>
      <c r="I26" s="14"/>
      <c r="J26" s="14"/>
      <c r="K26" s="14"/>
      <c r="L26" s="14"/>
      <c r="M26" s="13" t="str">
        <f t="shared" si="2"/>
        <v/>
      </c>
      <c r="N26" s="14"/>
    </row>
    <row r="27" ht="15.75" customHeight="1">
      <c r="A27" s="13" t="str">
        <f t="shared" si="1"/>
        <v/>
      </c>
      <c r="B27" s="14"/>
      <c r="C27" s="14"/>
      <c r="D27" s="14"/>
      <c r="E27" s="15"/>
      <c r="F27" s="15"/>
      <c r="G27" s="15"/>
      <c r="H27" s="14"/>
      <c r="I27" s="14"/>
      <c r="J27" s="14"/>
      <c r="K27" s="14"/>
      <c r="L27" s="14"/>
      <c r="M27" s="13" t="str">
        <f t="shared" si="2"/>
        <v/>
      </c>
      <c r="N27" s="14"/>
    </row>
    <row r="28" ht="15.75" customHeight="1">
      <c r="A28" s="13" t="str">
        <f t="shared" si="1"/>
        <v/>
      </c>
      <c r="B28" s="14"/>
      <c r="C28" s="14"/>
      <c r="D28" s="14"/>
      <c r="E28" s="15"/>
      <c r="F28" s="15"/>
      <c r="G28" s="15"/>
      <c r="H28" s="14"/>
      <c r="I28" s="14"/>
      <c r="J28" s="14"/>
      <c r="K28" s="14"/>
      <c r="L28" s="14"/>
      <c r="M28" s="13" t="str">
        <f t="shared" si="2"/>
        <v/>
      </c>
      <c r="N28" s="14"/>
    </row>
    <row r="29" ht="15.75" customHeight="1">
      <c r="A29" s="13" t="str">
        <f t="shared" si="1"/>
        <v/>
      </c>
      <c r="B29" s="14"/>
      <c r="C29" s="14"/>
      <c r="D29" s="14"/>
      <c r="E29" s="15"/>
      <c r="F29" s="15"/>
      <c r="G29" s="15"/>
      <c r="H29" s="14"/>
      <c r="I29" s="14"/>
      <c r="J29" s="14"/>
      <c r="K29" s="14"/>
      <c r="L29" s="14"/>
      <c r="M29" s="13" t="str">
        <f t="shared" si="2"/>
        <v/>
      </c>
      <c r="N29" s="14"/>
    </row>
    <row r="30" ht="15.75" customHeight="1">
      <c r="A30" s="13" t="str">
        <f t="shared" si="1"/>
        <v/>
      </c>
      <c r="B30" s="14"/>
      <c r="C30" s="14"/>
      <c r="D30" s="14"/>
      <c r="E30" s="15"/>
      <c r="F30" s="15"/>
      <c r="G30" s="15"/>
      <c r="H30" s="14"/>
      <c r="I30" s="14"/>
      <c r="J30" s="14"/>
      <c r="K30" s="14"/>
      <c r="L30" s="14"/>
      <c r="M30" s="13" t="str">
        <f t="shared" si="2"/>
        <v/>
      </c>
      <c r="N30" s="14"/>
    </row>
    <row r="31" ht="15.75" customHeight="1">
      <c r="A31" s="13" t="str">
        <f t="shared" si="1"/>
        <v/>
      </c>
      <c r="B31" s="14"/>
      <c r="C31" s="14"/>
      <c r="D31" s="14"/>
      <c r="E31" s="15"/>
      <c r="F31" s="15"/>
      <c r="G31" s="15"/>
      <c r="H31" s="14"/>
      <c r="I31" s="14"/>
      <c r="J31" s="14"/>
      <c r="K31" s="14"/>
      <c r="L31" s="14"/>
      <c r="M31" s="13" t="str">
        <f t="shared" si="2"/>
        <v/>
      </c>
      <c r="N31" s="14"/>
    </row>
    <row r="32" ht="15.75" customHeight="1">
      <c r="A32" s="13" t="str">
        <f t="shared" si="1"/>
        <v/>
      </c>
      <c r="B32" s="14"/>
      <c r="C32" s="14"/>
      <c r="D32" s="14"/>
      <c r="E32" s="15"/>
      <c r="F32" s="15"/>
      <c r="G32" s="15"/>
      <c r="H32" s="14"/>
      <c r="I32" s="14"/>
      <c r="J32" s="14"/>
      <c r="K32" s="14"/>
      <c r="L32" s="14"/>
      <c r="M32" s="13" t="str">
        <f t="shared" si="2"/>
        <v/>
      </c>
      <c r="N32" s="14"/>
    </row>
    <row r="33" ht="15.75" customHeight="1">
      <c r="A33" s="13" t="str">
        <f t="shared" si="1"/>
        <v/>
      </c>
      <c r="B33" s="14"/>
      <c r="C33" s="14"/>
      <c r="D33" s="14"/>
      <c r="E33" s="15"/>
      <c r="F33" s="15"/>
      <c r="G33" s="15"/>
      <c r="H33" s="14"/>
      <c r="I33" s="14"/>
      <c r="J33" s="14"/>
      <c r="K33" s="14"/>
      <c r="L33" s="14"/>
      <c r="M33" s="13" t="str">
        <f t="shared" si="2"/>
        <v/>
      </c>
      <c r="N33" s="14"/>
    </row>
    <row r="34" ht="15.75" customHeight="1">
      <c r="A34" s="13" t="str">
        <f t="shared" si="1"/>
        <v/>
      </c>
      <c r="B34" s="14"/>
      <c r="C34" s="14"/>
      <c r="D34" s="14"/>
      <c r="E34" s="15"/>
      <c r="F34" s="15"/>
      <c r="G34" s="15"/>
      <c r="H34" s="14"/>
      <c r="I34" s="14"/>
      <c r="J34" s="14"/>
      <c r="K34" s="14"/>
      <c r="L34" s="14"/>
      <c r="M34" s="13" t="str">
        <f t="shared" si="2"/>
        <v/>
      </c>
      <c r="N34" s="14"/>
    </row>
    <row r="35" ht="15.75" customHeight="1">
      <c r="A35" s="13" t="str">
        <f t="shared" si="1"/>
        <v/>
      </c>
      <c r="B35" s="14"/>
      <c r="C35" s="14"/>
      <c r="D35" s="14"/>
      <c r="E35" s="15"/>
      <c r="F35" s="15"/>
      <c r="G35" s="15"/>
      <c r="H35" s="14"/>
      <c r="I35" s="14"/>
      <c r="J35" s="14"/>
      <c r="K35" s="14"/>
      <c r="L35" s="14"/>
      <c r="M35" s="13" t="str">
        <f t="shared" si="2"/>
        <v/>
      </c>
      <c r="N35" s="14"/>
    </row>
    <row r="36" ht="15.75" customHeight="1">
      <c r="A36" s="13" t="str">
        <f t="shared" si="1"/>
        <v/>
      </c>
      <c r="B36" s="14"/>
      <c r="C36" s="14"/>
      <c r="D36" s="14"/>
      <c r="E36" s="15"/>
      <c r="F36" s="15"/>
      <c r="G36" s="15"/>
      <c r="H36" s="14"/>
      <c r="I36" s="14"/>
      <c r="J36" s="14"/>
      <c r="K36" s="14"/>
      <c r="L36" s="14"/>
      <c r="M36" s="13" t="str">
        <f t="shared" si="2"/>
        <v/>
      </c>
      <c r="N36" s="14"/>
    </row>
    <row r="37" ht="15.75" customHeight="1">
      <c r="A37" s="13" t="str">
        <f t="shared" si="1"/>
        <v/>
      </c>
      <c r="B37" s="14"/>
      <c r="C37" s="14"/>
      <c r="D37" s="14"/>
      <c r="E37" s="15"/>
      <c r="F37" s="15"/>
      <c r="G37" s="15"/>
      <c r="H37" s="14"/>
      <c r="I37" s="14"/>
      <c r="J37" s="14"/>
      <c r="K37" s="14"/>
      <c r="L37" s="14"/>
      <c r="M37" s="13" t="str">
        <f t="shared" si="2"/>
        <v/>
      </c>
      <c r="N37" s="14"/>
    </row>
    <row r="38" ht="15.75" customHeight="1">
      <c r="A38" s="13" t="str">
        <f t="shared" si="1"/>
        <v/>
      </c>
      <c r="B38" s="14"/>
      <c r="C38" s="14"/>
      <c r="D38" s="14"/>
      <c r="E38" s="15"/>
      <c r="F38" s="15"/>
      <c r="G38" s="15"/>
      <c r="H38" s="14"/>
      <c r="I38" s="14"/>
      <c r="J38" s="14"/>
      <c r="K38" s="14"/>
      <c r="L38" s="14"/>
      <c r="M38" s="13" t="str">
        <f t="shared" si="2"/>
        <v/>
      </c>
      <c r="N38" s="14"/>
    </row>
    <row r="39" ht="15.75" customHeight="1">
      <c r="A39" s="13" t="str">
        <f t="shared" si="1"/>
        <v/>
      </c>
      <c r="B39" s="14"/>
      <c r="C39" s="14"/>
      <c r="D39" s="14"/>
      <c r="E39" s="15"/>
      <c r="F39" s="15"/>
      <c r="G39" s="15"/>
      <c r="H39" s="14"/>
      <c r="I39" s="14"/>
      <c r="J39" s="14"/>
      <c r="K39" s="14"/>
      <c r="L39" s="14"/>
      <c r="M39" s="13" t="str">
        <f t="shared" si="2"/>
        <v/>
      </c>
      <c r="N39" s="14"/>
    </row>
    <row r="40" ht="15.75" customHeight="1">
      <c r="A40" s="13" t="str">
        <f t="shared" si="1"/>
        <v/>
      </c>
      <c r="B40" s="14"/>
      <c r="C40" s="14"/>
      <c r="D40" s="14"/>
      <c r="E40" s="15"/>
      <c r="F40" s="15"/>
      <c r="G40" s="15"/>
      <c r="H40" s="14"/>
      <c r="I40" s="14"/>
      <c r="J40" s="14"/>
      <c r="K40" s="14"/>
      <c r="L40" s="14"/>
      <c r="M40" s="13" t="str">
        <f t="shared" si="2"/>
        <v/>
      </c>
      <c r="N40" s="14"/>
    </row>
    <row r="41" ht="15.75" customHeight="1">
      <c r="A41" s="13" t="str">
        <f t="shared" si="1"/>
        <v/>
      </c>
      <c r="B41" s="14"/>
      <c r="C41" s="14"/>
      <c r="D41" s="14"/>
      <c r="E41" s="15"/>
      <c r="F41" s="15"/>
      <c r="G41" s="15"/>
      <c r="H41" s="14"/>
      <c r="I41" s="14"/>
      <c r="J41" s="14"/>
      <c r="K41" s="14"/>
      <c r="L41" s="14"/>
      <c r="M41" s="13" t="str">
        <f t="shared" si="2"/>
        <v/>
      </c>
      <c r="N41" s="14"/>
    </row>
    <row r="42" ht="15.75" customHeight="1">
      <c r="A42" s="13" t="str">
        <f t="shared" si="1"/>
        <v/>
      </c>
      <c r="B42" s="14"/>
      <c r="C42" s="14"/>
      <c r="D42" s="14"/>
      <c r="E42" s="15"/>
      <c r="F42" s="15"/>
      <c r="G42" s="15"/>
      <c r="H42" s="14"/>
      <c r="I42" s="14"/>
      <c r="J42" s="14"/>
      <c r="K42" s="14"/>
      <c r="L42" s="14"/>
      <c r="M42" s="13" t="str">
        <f t="shared" si="2"/>
        <v/>
      </c>
      <c r="N42" s="14"/>
    </row>
    <row r="43" ht="15.75" customHeight="1">
      <c r="A43" s="13" t="str">
        <f t="shared" si="1"/>
        <v/>
      </c>
      <c r="B43" s="14"/>
      <c r="C43" s="14"/>
      <c r="D43" s="14"/>
      <c r="E43" s="15"/>
      <c r="F43" s="15"/>
      <c r="G43" s="15"/>
      <c r="H43" s="14"/>
      <c r="I43" s="14"/>
      <c r="J43" s="14"/>
      <c r="K43" s="14"/>
      <c r="L43" s="14"/>
      <c r="M43" s="13" t="str">
        <f t="shared" si="2"/>
        <v/>
      </c>
      <c r="N43" s="14"/>
    </row>
    <row r="44" ht="15.75" customHeight="1">
      <c r="A44" s="13" t="str">
        <f t="shared" si="1"/>
        <v/>
      </c>
      <c r="B44" s="14"/>
      <c r="C44" s="14"/>
      <c r="D44" s="14"/>
      <c r="E44" s="15"/>
      <c r="F44" s="15"/>
      <c r="G44" s="15"/>
      <c r="H44" s="14"/>
      <c r="I44" s="14"/>
      <c r="J44" s="14"/>
      <c r="K44" s="14"/>
      <c r="L44" s="14"/>
      <c r="M44" s="13" t="str">
        <f t="shared" si="2"/>
        <v/>
      </c>
      <c r="N44" s="14"/>
    </row>
    <row r="45" ht="15.75" customHeight="1">
      <c r="A45" s="13" t="str">
        <f t="shared" si="1"/>
        <v/>
      </c>
      <c r="B45" s="14"/>
      <c r="C45" s="14"/>
      <c r="D45" s="14"/>
      <c r="E45" s="15"/>
      <c r="F45" s="15"/>
      <c r="G45" s="15"/>
      <c r="H45" s="14"/>
      <c r="I45" s="14"/>
      <c r="J45" s="14"/>
      <c r="K45" s="14"/>
      <c r="L45" s="14"/>
      <c r="M45" s="13" t="str">
        <f t="shared" si="2"/>
        <v/>
      </c>
      <c r="N45" s="14"/>
    </row>
    <row r="46" ht="15.75" customHeight="1">
      <c r="A46" s="13" t="str">
        <f t="shared" si="1"/>
        <v/>
      </c>
      <c r="B46" s="14"/>
      <c r="C46" s="14"/>
      <c r="D46" s="14"/>
      <c r="E46" s="15"/>
      <c r="F46" s="15"/>
      <c r="G46" s="15"/>
      <c r="H46" s="14"/>
      <c r="I46" s="14"/>
      <c r="J46" s="14"/>
      <c r="K46" s="14"/>
      <c r="L46" s="14"/>
      <c r="M46" s="13" t="str">
        <f t="shared" si="2"/>
        <v/>
      </c>
      <c r="N46" s="14"/>
    </row>
    <row r="47" ht="15.75" customHeight="1">
      <c r="A47" s="13" t="str">
        <f t="shared" si="1"/>
        <v/>
      </c>
      <c r="B47" s="14"/>
      <c r="C47" s="14"/>
      <c r="D47" s="14"/>
      <c r="E47" s="15"/>
      <c r="F47" s="15"/>
      <c r="G47" s="15"/>
      <c r="H47" s="14"/>
      <c r="I47" s="14"/>
      <c r="J47" s="14"/>
      <c r="K47" s="14"/>
      <c r="L47" s="14"/>
      <c r="M47" s="13" t="str">
        <f t="shared" si="2"/>
        <v/>
      </c>
      <c r="N47" s="14"/>
    </row>
    <row r="48" ht="15.75" customHeight="1">
      <c r="A48" s="13" t="str">
        <f t="shared" si="1"/>
        <v/>
      </c>
      <c r="B48" s="14"/>
      <c r="C48" s="14"/>
      <c r="D48" s="14"/>
      <c r="E48" s="15"/>
      <c r="F48" s="15"/>
      <c r="G48" s="15"/>
      <c r="H48" s="14"/>
      <c r="I48" s="14"/>
      <c r="J48" s="14"/>
      <c r="K48" s="14"/>
      <c r="L48" s="14"/>
      <c r="M48" s="13" t="str">
        <f t="shared" si="2"/>
        <v/>
      </c>
      <c r="N48" s="14"/>
    </row>
    <row r="49" ht="15.75" customHeight="1">
      <c r="A49" s="13" t="str">
        <f t="shared" si="1"/>
        <v/>
      </c>
      <c r="B49" s="14"/>
      <c r="C49" s="14"/>
      <c r="D49" s="14"/>
      <c r="E49" s="15"/>
      <c r="F49" s="15"/>
      <c r="G49" s="15"/>
      <c r="H49" s="14"/>
      <c r="I49" s="14"/>
      <c r="J49" s="14"/>
      <c r="K49" s="14"/>
      <c r="L49" s="14"/>
      <c r="M49" s="13" t="str">
        <f t="shared" si="2"/>
        <v/>
      </c>
      <c r="N49" s="14"/>
    </row>
    <row r="50" ht="15.75" customHeight="1">
      <c r="A50" s="13" t="str">
        <f t="shared" si="1"/>
        <v/>
      </c>
      <c r="B50" s="14"/>
      <c r="C50" s="14"/>
      <c r="D50" s="14"/>
      <c r="E50" s="15"/>
      <c r="F50" s="15"/>
      <c r="G50" s="15"/>
      <c r="H50" s="14"/>
      <c r="I50" s="14"/>
      <c r="J50" s="14"/>
      <c r="K50" s="14"/>
      <c r="L50" s="14"/>
      <c r="M50" s="13" t="str">
        <f t="shared" si="2"/>
        <v/>
      </c>
      <c r="N50" s="14"/>
    </row>
    <row r="51" ht="15.75" customHeight="1">
      <c r="A51" s="13" t="str">
        <f t="shared" si="1"/>
        <v/>
      </c>
      <c r="B51" s="14"/>
      <c r="C51" s="14"/>
      <c r="D51" s="14"/>
      <c r="E51" s="15"/>
      <c r="F51" s="15"/>
      <c r="G51" s="15"/>
      <c r="H51" s="14"/>
      <c r="I51" s="14"/>
      <c r="J51" s="14"/>
      <c r="K51" s="14"/>
      <c r="L51" s="14"/>
      <c r="M51" s="13" t="str">
        <f t="shared" si="2"/>
        <v/>
      </c>
      <c r="N51" s="14"/>
    </row>
    <row r="52" ht="15.75" customHeight="1">
      <c r="A52" s="13" t="str">
        <f t="shared" si="1"/>
        <v/>
      </c>
      <c r="B52" s="14"/>
      <c r="C52" s="14"/>
      <c r="D52" s="14"/>
      <c r="E52" s="15"/>
      <c r="F52" s="15"/>
      <c r="G52" s="15"/>
      <c r="H52" s="14"/>
      <c r="I52" s="14"/>
      <c r="J52" s="14"/>
      <c r="K52" s="14"/>
      <c r="L52" s="14"/>
      <c r="M52" s="13" t="str">
        <f t="shared" si="2"/>
        <v/>
      </c>
      <c r="N52" s="14"/>
    </row>
    <row r="53" ht="15.75" customHeight="1">
      <c r="A53" s="13" t="str">
        <f t="shared" si="1"/>
        <v/>
      </c>
      <c r="B53" s="14"/>
      <c r="C53" s="14"/>
      <c r="D53" s="14"/>
      <c r="E53" s="15"/>
      <c r="F53" s="15"/>
      <c r="G53" s="15"/>
      <c r="H53" s="14"/>
      <c r="I53" s="14"/>
      <c r="J53" s="14"/>
      <c r="K53" s="14"/>
      <c r="L53" s="14"/>
      <c r="M53" s="13" t="str">
        <f t="shared" si="2"/>
        <v/>
      </c>
      <c r="N53" s="14"/>
    </row>
    <row r="54" ht="15.75" customHeight="1">
      <c r="A54" s="13" t="str">
        <f t="shared" si="1"/>
        <v/>
      </c>
      <c r="B54" s="14"/>
      <c r="C54" s="14"/>
      <c r="D54" s="14"/>
      <c r="E54" s="15"/>
      <c r="F54" s="15"/>
      <c r="G54" s="15"/>
      <c r="H54" s="14"/>
      <c r="I54" s="14"/>
      <c r="J54" s="14"/>
      <c r="K54" s="14"/>
      <c r="L54" s="14"/>
      <c r="M54" s="13" t="str">
        <f t="shared" si="2"/>
        <v/>
      </c>
      <c r="N54" s="14"/>
    </row>
    <row r="55" ht="15.75" customHeight="1">
      <c r="A55" s="13" t="str">
        <f t="shared" si="1"/>
        <v/>
      </c>
      <c r="B55" s="14"/>
      <c r="C55" s="14"/>
      <c r="D55" s="14"/>
      <c r="E55" s="15"/>
      <c r="F55" s="15"/>
      <c r="G55" s="15"/>
      <c r="H55" s="14"/>
      <c r="I55" s="14"/>
      <c r="J55" s="14"/>
      <c r="K55" s="14"/>
      <c r="L55" s="14"/>
      <c r="M55" s="13" t="str">
        <f t="shared" si="2"/>
        <v/>
      </c>
      <c r="N55" s="14"/>
    </row>
    <row r="56" ht="15.75" customHeight="1">
      <c r="A56" s="13" t="str">
        <f t="shared" si="1"/>
        <v/>
      </c>
      <c r="B56" s="14"/>
      <c r="C56" s="14"/>
      <c r="D56" s="14"/>
      <c r="E56" s="15"/>
      <c r="F56" s="15"/>
      <c r="G56" s="15"/>
      <c r="H56" s="14"/>
      <c r="I56" s="14"/>
      <c r="J56" s="14"/>
      <c r="K56" s="14"/>
      <c r="L56" s="14"/>
      <c r="M56" s="13" t="str">
        <f t="shared" si="2"/>
        <v/>
      </c>
      <c r="N56" s="14"/>
    </row>
    <row r="57" ht="15.75" customHeight="1">
      <c r="A57" s="13" t="str">
        <f t="shared" si="1"/>
        <v/>
      </c>
      <c r="B57" s="14"/>
      <c r="C57" s="14"/>
      <c r="D57" s="14"/>
      <c r="E57" s="15"/>
      <c r="F57" s="15"/>
      <c r="G57" s="15"/>
      <c r="H57" s="14"/>
      <c r="I57" s="14"/>
      <c r="J57" s="14"/>
      <c r="K57" s="14"/>
      <c r="L57" s="14"/>
      <c r="M57" s="13" t="str">
        <f t="shared" si="2"/>
        <v/>
      </c>
      <c r="N57" s="14"/>
    </row>
    <row r="58" ht="15.75" customHeight="1">
      <c r="A58" s="13" t="str">
        <f t="shared" si="1"/>
        <v/>
      </c>
      <c r="B58" s="14"/>
      <c r="C58" s="14"/>
      <c r="D58" s="14"/>
      <c r="E58" s="15"/>
      <c r="F58" s="15"/>
      <c r="G58" s="15"/>
      <c r="H58" s="14"/>
      <c r="I58" s="14"/>
      <c r="J58" s="14"/>
      <c r="K58" s="14"/>
      <c r="L58" s="14"/>
      <c r="M58" s="13" t="str">
        <f t="shared" si="2"/>
        <v/>
      </c>
      <c r="N58" s="14"/>
    </row>
    <row r="59" ht="15.75" customHeight="1">
      <c r="A59" s="13" t="str">
        <f t="shared" si="1"/>
        <v/>
      </c>
      <c r="B59" s="14"/>
      <c r="C59" s="14"/>
      <c r="D59" s="14"/>
      <c r="E59" s="15"/>
      <c r="F59" s="15"/>
      <c r="G59" s="15"/>
      <c r="H59" s="14"/>
      <c r="I59" s="14"/>
      <c r="J59" s="14"/>
      <c r="K59" s="14"/>
      <c r="L59" s="14"/>
      <c r="M59" s="13" t="str">
        <f t="shared" si="2"/>
        <v/>
      </c>
      <c r="N59" s="14"/>
    </row>
    <row r="60" ht="15.75" customHeight="1">
      <c r="A60" s="13" t="str">
        <f t="shared" si="1"/>
        <v/>
      </c>
      <c r="B60" s="14"/>
      <c r="C60" s="14"/>
      <c r="D60" s="14"/>
      <c r="E60" s="15"/>
      <c r="F60" s="15"/>
      <c r="G60" s="15"/>
      <c r="H60" s="14"/>
      <c r="I60" s="14"/>
      <c r="J60" s="14"/>
      <c r="K60" s="14"/>
      <c r="L60" s="14"/>
      <c r="M60" s="13" t="str">
        <f t="shared" si="2"/>
        <v/>
      </c>
      <c r="N60" s="14"/>
    </row>
    <row r="61" ht="15.75" customHeight="1">
      <c r="A61" s="13" t="str">
        <f t="shared" si="1"/>
        <v/>
      </c>
      <c r="B61" s="14"/>
      <c r="C61" s="14"/>
      <c r="D61" s="14"/>
      <c r="E61" s="15"/>
      <c r="F61" s="15"/>
      <c r="G61" s="15"/>
      <c r="H61" s="14"/>
      <c r="I61" s="14"/>
      <c r="J61" s="14"/>
      <c r="K61" s="14"/>
      <c r="L61" s="14"/>
      <c r="M61" s="13" t="str">
        <f t="shared" si="2"/>
        <v/>
      </c>
      <c r="N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K2:K61">
      <formula1>Lists!$H$2:$H$9</formula1>
    </dataValidation>
    <dataValidation type="list" allowBlank="1" showInputMessage="1" showErrorMessage="1" prompt="Invalid ID - Please choose a valid actor_id from People_Roster." sqref="G2:G61">
      <formula1>People_Roster!$A$2:$A$61</formula1>
    </dataValidation>
    <dataValidation type="list" allowBlank="1" showInputMessage="1" showErrorMessage="1" prompt="Invalid ID - Please choose a valid studio_id from Studio_Master." sqref="F2:F61">
      <formula1>Studio_Master!$A$2:$A$61</formula1>
    </dataValidation>
    <dataValidation type="list" allowBlank="1" showInputMessage="1" showErrorMessage="1" prompt="Invalid entry - Please choose a value from the dropdown list only." sqref="H2:H61">
      <formula1>Lists!$B$2:$B$3</formula1>
    </dataValidation>
    <dataValidation type="list" allowBlank="1" showInputMessage="1" showErrorMessage="1" prompt="Invalid entry - Please choose a value from the dropdown list only." sqref="D2:D61">
      <formula1>Lists!$G$2:$G$11</formula1>
    </dataValidation>
    <dataValidation type="list" allowBlank="1" showInputMessage="1" showErrorMessage="1" prompt="Invalid ID - Please choose a valid theatre_id from Theatre_Master." sqref="E2:E61">
      <formula1>Theatre_Master!$A$2:$A$61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2" width="22.0"/>
    <col customWidth="1" min="23" max="26" width="8.71"/>
  </cols>
  <sheetData>
    <row r="1" ht="30.0" customHeight="1">
      <c r="A1" s="5" t="s">
        <v>243</v>
      </c>
      <c r="B1" s="5" t="s">
        <v>244</v>
      </c>
      <c r="C1" s="5" t="s">
        <v>245</v>
      </c>
      <c r="D1" s="5" t="s">
        <v>246</v>
      </c>
      <c r="E1" s="5" t="s">
        <v>247</v>
      </c>
      <c r="F1" s="5" t="s">
        <v>217</v>
      </c>
      <c r="G1" s="5" t="s">
        <v>218</v>
      </c>
      <c r="H1" s="5" t="s">
        <v>248</v>
      </c>
      <c r="I1" s="5" t="s">
        <v>249</v>
      </c>
      <c r="J1" s="5" t="s">
        <v>250</v>
      </c>
      <c r="K1" s="5" t="s">
        <v>251</v>
      </c>
      <c r="L1" s="5" t="s">
        <v>252</v>
      </c>
      <c r="M1" s="5" t="s">
        <v>253</v>
      </c>
      <c r="N1" s="5" t="s">
        <v>254</v>
      </c>
      <c r="O1" s="5" t="s">
        <v>255</v>
      </c>
      <c r="P1" s="5" t="s">
        <v>256</v>
      </c>
      <c r="Q1" s="5" t="s">
        <v>91</v>
      </c>
      <c r="R1" s="5" t="s">
        <v>257</v>
      </c>
      <c r="S1" s="5" t="s">
        <v>258</v>
      </c>
      <c r="T1" s="5" t="s">
        <v>260</v>
      </c>
      <c r="U1" s="5" t="s">
        <v>262</v>
      </c>
      <c r="V1" s="5" t="s">
        <v>156</v>
      </c>
    </row>
    <row r="2">
      <c r="A2" s="13" t="str">
        <f t="shared" ref="A2:A61" si="1">IF($B2="","","DEM-"&amp;TEXT(ROW()-1,"000"))</f>
        <v/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3" t="str">
        <f t="shared" ref="M2:M61" si="2">IF($B2="","",IF($K2="","",$K2-$L2))</f>
        <v/>
      </c>
      <c r="N2" s="14"/>
      <c r="O2" s="14"/>
      <c r="P2" s="14"/>
      <c r="Q2" s="14"/>
      <c r="R2" s="15"/>
      <c r="S2" s="14"/>
      <c r="T2" s="13" t="str">
        <f t="shared" ref="T2:T61" si="3">IF($B2="","",IF($S2="","",ROUND((NOW()-$S2)*24,1)))</f>
        <v/>
      </c>
      <c r="U2" s="14"/>
      <c r="V2" s="14"/>
    </row>
    <row r="3">
      <c r="A3" s="13" t="str">
        <f t="shared" si="1"/>
        <v/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3" t="str">
        <f t="shared" si="2"/>
        <v/>
      </c>
      <c r="N3" s="14"/>
      <c r="O3" s="14"/>
      <c r="P3" s="14"/>
      <c r="Q3" s="14"/>
      <c r="R3" s="15"/>
      <c r="S3" s="14"/>
      <c r="T3" s="13" t="str">
        <f t="shared" si="3"/>
        <v/>
      </c>
      <c r="U3" s="14"/>
      <c r="V3" s="14"/>
    </row>
    <row r="4">
      <c r="A4" s="13" t="str">
        <f t="shared" si="1"/>
        <v/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3" t="str">
        <f t="shared" si="2"/>
        <v/>
      </c>
      <c r="N4" s="14"/>
      <c r="O4" s="14"/>
      <c r="P4" s="14"/>
      <c r="Q4" s="14"/>
      <c r="R4" s="15"/>
      <c r="S4" s="14"/>
      <c r="T4" s="13" t="str">
        <f t="shared" si="3"/>
        <v/>
      </c>
      <c r="U4" s="14"/>
      <c r="V4" s="14"/>
    </row>
    <row r="5">
      <c r="A5" s="13" t="str">
        <f t="shared" si="1"/>
        <v/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3" t="str">
        <f t="shared" si="2"/>
        <v/>
      </c>
      <c r="N5" s="14"/>
      <c r="O5" s="14"/>
      <c r="P5" s="14"/>
      <c r="Q5" s="14"/>
      <c r="R5" s="15"/>
      <c r="S5" s="14"/>
      <c r="T5" s="13" t="str">
        <f t="shared" si="3"/>
        <v/>
      </c>
      <c r="U5" s="14"/>
      <c r="V5" s="14"/>
    </row>
    <row r="6">
      <c r="A6" s="13" t="str">
        <f t="shared" si="1"/>
        <v/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3" t="str">
        <f t="shared" si="2"/>
        <v/>
      </c>
      <c r="N6" s="14"/>
      <c r="O6" s="14"/>
      <c r="P6" s="14"/>
      <c r="Q6" s="14"/>
      <c r="R6" s="15"/>
      <c r="S6" s="14"/>
      <c r="T6" s="13" t="str">
        <f t="shared" si="3"/>
        <v/>
      </c>
      <c r="U6" s="14"/>
      <c r="V6" s="14"/>
    </row>
    <row r="7">
      <c r="A7" s="13" t="str">
        <f t="shared" si="1"/>
        <v/>
      </c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3" t="str">
        <f t="shared" si="2"/>
        <v/>
      </c>
      <c r="N7" s="14"/>
      <c r="O7" s="14"/>
      <c r="P7" s="14"/>
      <c r="Q7" s="14"/>
      <c r="R7" s="15"/>
      <c r="S7" s="14"/>
      <c r="T7" s="13" t="str">
        <f t="shared" si="3"/>
        <v/>
      </c>
      <c r="U7" s="14"/>
      <c r="V7" s="14"/>
    </row>
    <row r="8">
      <c r="A8" s="13" t="str">
        <f t="shared" si="1"/>
        <v/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3" t="str">
        <f t="shared" si="2"/>
        <v/>
      </c>
      <c r="N8" s="14"/>
      <c r="O8" s="14"/>
      <c r="P8" s="14"/>
      <c r="Q8" s="14"/>
      <c r="R8" s="15"/>
      <c r="S8" s="14"/>
      <c r="T8" s="13" t="str">
        <f t="shared" si="3"/>
        <v/>
      </c>
      <c r="U8" s="14"/>
      <c r="V8" s="14"/>
    </row>
    <row r="9">
      <c r="A9" s="13" t="str">
        <f t="shared" si="1"/>
        <v/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3" t="str">
        <f t="shared" si="2"/>
        <v/>
      </c>
      <c r="N9" s="14"/>
      <c r="O9" s="14"/>
      <c r="P9" s="14"/>
      <c r="Q9" s="14"/>
      <c r="R9" s="15"/>
      <c r="S9" s="14"/>
      <c r="T9" s="13" t="str">
        <f t="shared" si="3"/>
        <v/>
      </c>
      <c r="U9" s="14"/>
      <c r="V9" s="14"/>
    </row>
    <row r="10">
      <c r="A10" s="13" t="str">
        <f t="shared" si="1"/>
        <v/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3" t="str">
        <f t="shared" si="2"/>
        <v/>
      </c>
      <c r="N10" s="14"/>
      <c r="O10" s="14"/>
      <c r="P10" s="14"/>
      <c r="Q10" s="14"/>
      <c r="R10" s="15"/>
      <c r="S10" s="14"/>
      <c r="T10" s="13" t="str">
        <f t="shared" si="3"/>
        <v/>
      </c>
      <c r="U10" s="14"/>
      <c r="V10" s="14"/>
    </row>
    <row r="11">
      <c r="A11" s="13" t="str">
        <f t="shared" si="1"/>
        <v/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3" t="str">
        <f t="shared" si="2"/>
        <v/>
      </c>
      <c r="N11" s="14"/>
      <c r="O11" s="14"/>
      <c r="P11" s="14"/>
      <c r="Q11" s="14"/>
      <c r="R11" s="15"/>
      <c r="S11" s="14"/>
      <c r="T11" s="13" t="str">
        <f t="shared" si="3"/>
        <v/>
      </c>
      <c r="U11" s="14"/>
      <c r="V11" s="14"/>
    </row>
    <row r="12">
      <c r="A12" s="13" t="str">
        <f t="shared" si="1"/>
        <v/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3" t="str">
        <f t="shared" si="2"/>
        <v/>
      </c>
      <c r="N12" s="14"/>
      <c r="O12" s="14"/>
      <c r="P12" s="14"/>
      <c r="Q12" s="14"/>
      <c r="R12" s="15"/>
      <c r="S12" s="14"/>
      <c r="T12" s="13" t="str">
        <f t="shared" si="3"/>
        <v/>
      </c>
      <c r="U12" s="14"/>
      <c r="V12" s="14"/>
    </row>
    <row r="13">
      <c r="A13" s="13" t="str">
        <f t="shared" si="1"/>
        <v/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3" t="str">
        <f t="shared" si="2"/>
        <v/>
      </c>
      <c r="N13" s="14"/>
      <c r="O13" s="14"/>
      <c r="P13" s="14"/>
      <c r="Q13" s="14"/>
      <c r="R13" s="15"/>
      <c r="S13" s="14"/>
      <c r="T13" s="13" t="str">
        <f t="shared" si="3"/>
        <v/>
      </c>
      <c r="U13" s="14"/>
      <c r="V13" s="14"/>
    </row>
    <row r="14">
      <c r="A14" s="13" t="str">
        <f t="shared" si="1"/>
        <v/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3" t="str">
        <f t="shared" si="2"/>
        <v/>
      </c>
      <c r="N14" s="14"/>
      <c r="O14" s="14"/>
      <c r="P14" s="14"/>
      <c r="Q14" s="14"/>
      <c r="R14" s="15"/>
      <c r="S14" s="14"/>
      <c r="T14" s="13" t="str">
        <f t="shared" si="3"/>
        <v/>
      </c>
      <c r="U14" s="14"/>
      <c r="V14" s="14"/>
    </row>
    <row r="15">
      <c r="A15" s="13" t="str">
        <f t="shared" si="1"/>
        <v/>
      </c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3" t="str">
        <f t="shared" si="2"/>
        <v/>
      </c>
      <c r="N15" s="14"/>
      <c r="O15" s="14"/>
      <c r="P15" s="14"/>
      <c r="Q15" s="14"/>
      <c r="R15" s="15"/>
      <c r="S15" s="14"/>
      <c r="T15" s="13" t="str">
        <f t="shared" si="3"/>
        <v/>
      </c>
      <c r="U15" s="14"/>
      <c r="V15" s="14"/>
    </row>
    <row r="16">
      <c r="A16" s="13" t="str">
        <f t="shared" si="1"/>
        <v/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3" t="str">
        <f t="shared" si="2"/>
        <v/>
      </c>
      <c r="N16" s="14"/>
      <c r="O16" s="14"/>
      <c r="P16" s="14"/>
      <c r="Q16" s="14"/>
      <c r="R16" s="15"/>
      <c r="S16" s="14"/>
      <c r="T16" s="13" t="str">
        <f t="shared" si="3"/>
        <v/>
      </c>
      <c r="U16" s="14"/>
      <c r="V16" s="14"/>
    </row>
    <row r="17">
      <c r="A17" s="13" t="str">
        <f t="shared" si="1"/>
        <v/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3" t="str">
        <f t="shared" si="2"/>
        <v/>
      </c>
      <c r="N17" s="14"/>
      <c r="O17" s="14"/>
      <c r="P17" s="14"/>
      <c r="Q17" s="14"/>
      <c r="R17" s="15"/>
      <c r="S17" s="14"/>
      <c r="T17" s="13" t="str">
        <f t="shared" si="3"/>
        <v/>
      </c>
      <c r="U17" s="14"/>
      <c r="V17" s="14"/>
    </row>
    <row r="18">
      <c r="A18" s="13" t="str">
        <f t="shared" si="1"/>
        <v/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3" t="str">
        <f t="shared" si="2"/>
        <v/>
      </c>
      <c r="N18" s="14"/>
      <c r="O18" s="14"/>
      <c r="P18" s="14"/>
      <c r="Q18" s="14"/>
      <c r="R18" s="15"/>
      <c r="S18" s="14"/>
      <c r="T18" s="13" t="str">
        <f t="shared" si="3"/>
        <v/>
      </c>
      <c r="U18" s="14"/>
      <c r="V18" s="14"/>
    </row>
    <row r="19">
      <c r="A19" s="13" t="str">
        <f t="shared" si="1"/>
        <v/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3" t="str">
        <f t="shared" si="2"/>
        <v/>
      </c>
      <c r="N19" s="14"/>
      <c r="O19" s="14"/>
      <c r="P19" s="14"/>
      <c r="Q19" s="14"/>
      <c r="R19" s="15"/>
      <c r="S19" s="14"/>
      <c r="T19" s="13" t="str">
        <f t="shared" si="3"/>
        <v/>
      </c>
      <c r="U19" s="14"/>
      <c r="V19" s="14"/>
    </row>
    <row r="20">
      <c r="A20" s="13" t="str">
        <f t="shared" si="1"/>
        <v/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3" t="str">
        <f t="shared" si="2"/>
        <v/>
      </c>
      <c r="N20" s="14"/>
      <c r="O20" s="14"/>
      <c r="P20" s="14"/>
      <c r="Q20" s="14"/>
      <c r="R20" s="15"/>
      <c r="S20" s="14"/>
      <c r="T20" s="13" t="str">
        <f t="shared" si="3"/>
        <v/>
      </c>
      <c r="U20" s="14"/>
      <c r="V20" s="14"/>
    </row>
    <row r="21" ht="15.75" customHeight="1">
      <c r="A21" s="13" t="str">
        <f t="shared" si="1"/>
        <v/>
      </c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3" t="str">
        <f t="shared" si="2"/>
        <v/>
      </c>
      <c r="N21" s="14"/>
      <c r="O21" s="14"/>
      <c r="P21" s="14"/>
      <c r="Q21" s="14"/>
      <c r="R21" s="15"/>
      <c r="S21" s="14"/>
      <c r="T21" s="13" t="str">
        <f t="shared" si="3"/>
        <v/>
      </c>
      <c r="U21" s="14"/>
      <c r="V21" s="14"/>
    </row>
    <row r="22" ht="15.75" customHeight="1">
      <c r="A22" s="13" t="str">
        <f t="shared" si="1"/>
        <v/>
      </c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3" t="str">
        <f t="shared" si="2"/>
        <v/>
      </c>
      <c r="N22" s="14"/>
      <c r="O22" s="14"/>
      <c r="P22" s="14"/>
      <c r="Q22" s="14"/>
      <c r="R22" s="15"/>
      <c r="S22" s="14"/>
      <c r="T22" s="13" t="str">
        <f t="shared" si="3"/>
        <v/>
      </c>
      <c r="U22" s="14"/>
      <c r="V22" s="14"/>
    </row>
    <row r="23" ht="15.75" customHeight="1">
      <c r="A23" s="13" t="str">
        <f t="shared" si="1"/>
        <v/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3" t="str">
        <f t="shared" si="2"/>
        <v/>
      </c>
      <c r="N23" s="14"/>
      <c r="O23" s="14"/>
      <c r="P23" s="14"/>
      <c r="Q23" s="14"/>
      <c r="R23" s="15"/>
      <c r="S23" s="14"/>
      <c r="T23" s="13" t="str">
        <f t="shared" si="3"/>
        <v/>
      </c>
      <c r="U23" s="14"/>
      <c r="V23" s="14"/>
    </row>
    <row r="24" ht="15.75" customHeight="1">
      <c r="A24" s="13" t="str">
        <f t="shared" si="1"/>
        <v/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3" t="str">
        <f t="shared" si="2"/>
        <v/>
      </c>
      <c r="N24" s="14"/>
      <c r="O24" s="14"/>
      <c r="P24" s="14"/>
      <c r="Q24" s="14"/>
      <c r="R24" s="15"/>
      <c r="S24" s="14"/>
      <c r="T24" s="13" t="str">
        <f t="shared" si="3"/>
        <v/>
      </c>
      <c r="U24" s="14"/>
      <c r="V24" s="14"/>
    </row>
    <row r="25" ht="15.75" customHeight="1">
      <c r="A25" s="13" t="str">
        <f t="shared" si="1"/>
        <v/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3" t="str">
        <f t="shared" si="2"/>
        <v/>
      </c>
      <c r="N25" s="14"/>
      <c r="O25" s="14"/>
      <c r="P25" s="14"/>
      <c r="Q25" s="14"/>
      <c r="R25" s="15"/>
      <c r="S25" s="14"/>
      <c r="T25" s="13" t="str">
        <f t="shared" si="3"/>
        <v/>
      </c>
      <c r="U25" s="14"/>
      <c r="V25" s="14"/>
    </row>
    <row r="26" ht="15.75" customHeight="1">
      <c r="A26" s="13" t="str">
        <f t="shared" si="1"/>
        <v/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3" t="str">
        <f t="shared" si="2"/>
        <v/>
      </c>
      <c r="N26" s="14"/>
      <c r="O26" s="14"/>
      <c r="P26" s="14"/>
      <c r="Q26" s="14"/>
      <c r="R26" s="15"/>
      <c r="S26" s="14"/>
      <c r="T26" s="13" t="str">
        <f t="shared" si="3"/>
        <v/>
      </c>
      <c r="U26" s="14"/>
      <c r="V26" s="14"/>
    </row>
    <row r="27" ht="15.75" customHeight="1">
      <c r="A27" s="13" t="str">
        <f t="shared" si="1"/>
        <v/>
      </c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3" t="str">
        <f t="shared" si="2"/>
        <v/>
      </c>
      <c r="N27" s="14"/>
      <c r="O27" s="14"/>
      <c r="P27" s="14"/>
      <c r="Q27" s="14"/>
      <c r="R27" s="15"/>
      <c r="S27" s="14"/>
      <c r="T27" s="13" t="str">
        <f t="shared" si="3"/>
        <v/>
      </c>
      <c r="U27" s="14"/>
      <c r="V27" s="14"/>
    </row>
    <row r="28" ht="15.75" customHeight="1">
      <c r="A28" s="13" t="str">
        <f t="shared" si="1"/>
        <v/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3" t="str">
        <f t="shared" si="2"/>
        <v/>
      </c>
      <c r="N28" s="14"/>
      <c r="O28" s="14"/>
      <c r="P28" s="14"/>
      <c r="Q28" s="14"/>
      <c r="R28" s="15"/>
      <c r="S28" s="14"/>
      <c r="T28" s="13" t="str">
        <f t="shared" si="3"/>
        <v/>
      </c>
      <c r="U28" s="14"/>
      <c r="V28" s="14"/>
    </row>
    <row r="29" ht="15.75" customHeight="1">
      <c r="A29" s="13" t="str">
        <f t="shared" si="1"/>
        <v/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3" t="str">
        <f t="shared" si="2"/>
        <v/>
      </c>
      <c r="N29" s="14"/>
      <c r="O29" s="14"/>
      <c r="P29" s="14"/>
      <c r="Q29" s="14"/>
      <c r="R29" s="15"/>
      <c r="S29" s="14"/>
      <c r="T29" s="13" t="str">
        <f t="shared" si="3"/>
        <v/>
      </c>
      <c r="U29" s="14"/>
      <c r="V29" s="14"/>
    </row>
    <row r="30" ht="15.75" customHeight="1">
      <c r="A30" s="13" t="str">
        <f t="shared" si="1"/>
        <v/>
      </c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3" t="str">
        <f t="shared" si="2"/>
        <v/>
      </c>
      <c r="N30" s="14"/>
      <c r="O30" s="14"/>
      <c r="P30" s="14"/>
      <c r="Q30" s="14"/>
      <c r="R30" s="15"/>
      <c r="S30" s="14"/>
      <c r="T30" s="13" t="str">
        <f t="shared" si="3"/>
        <v/>
      </c>
      <c r="U30" s="14"/>
      <c r="V30" s="14"/>
    </row>
    <row r="31" ht="15.75" customHeight="1">
      <c r="A31" s="13" t="str">
        <f t="shared" si="1"/>
        <v/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3" t="str">
        <f t="shared" si="2"/>
        <v/>
      </c>
      <c r="N31" s="14"/>
      <c r="O31" s="14"/>
      <c r="P31" s="14"/>
      <c r="Q31" s="14"/>
      <c r="R31" s="15"/>
      <c r="S31" s="14"/>
      <c r="T31" s="13" t="str">
        <f t="shared" si="3"/>
        <v/>
      </c>
      <c r="U31" s="14"/>
      <c r="V31" s="14"/>
    </row>
    <row r="32" ht="15.75" customHeight="1">
      <c r="A32" s="13" t="str">
        <f t="shared" si="1"/>
        <v/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3" t="str">
        <f t="shared" si="2"/>
        <v/>
      </c>
      <c r="N32" s="14"/>
      <c r="O32" s="14"/>
      <c r="P32" s="14"/>
      <c r="Q32" s="14"/>
      <c r="R32" s="15"/>
      <c r="S32" s="14"/>
      <c r="T32" s="13" t="str">
        <f t="shared" si="3"/>
        <v/>
      </c>
      <c r="U32" s="14"/>
      <c r="V32" s="14"/>
    </row>
    <row r="33" ht="15.75" customHeight="1">
      <c r="A33" s="13" t="str">
        <f t="shared" si="1"/>
        <v/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3" t="str">
        <f t="shared" si="2"/>
        <v/>
      </c>
      <c r="N33" s="14"/>
      <c r="O33" s="14"/>
      <c r="P33" s="14"/>
      <c r="Q33" s="14"/>
      <c r="R33" s="15"/>
      <c r="S33" s="14"/>
      <c r="T33" s="13" t="str">
        <f t="shared" si="3"/>
        <v/>
      </c>
      <c r="U33" s="14"/>
      <c r="V33" s="14"/>
    </row>
    <row r="34" ht="15.75" customHeight="1">
      <c r="A34" s="13" t="str">
        <f t="shared" si="1"/>
        <v/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3" t="str">
        <f t="shared" si="2"/>
        <v/>
      </c>
      <c r="N34" s="14"/>
      <c r="O34" s="14"/>
      <c r="P34" s="14"/>
      <c r="Q34" s="14"/>
      <c r="R34" s="15"/>
      <c r="S34" s="14"/>
      <c r="T34" s="13" t="str">
        <f t="shared" si="3"/>
        <v/>
      </c>
      <c r="U34" s="14"/>
      <c r="V34" s="14"/>
    </row>
    <row r="35" ht="15.75" customHeight="1">
      <c r="A35" s="13" t="str">
        <f t="shared" si="1"/>
        <v/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3" t="str">
        <f t="shared" si="2"/>
        <v/>
      </c>
      <c r="N35" s="14"/>
      <c r="O35" s="14"/>
      <c r="P35" s="14"/>
      <c r="Q35" s="14"/>
      <c r="R35" s="15"/>
      <c r="S35" s="14"/>
      <c r="T35" s="13" t="str">
        <f t="shared" si="3"/>
        <v/>
      </c>
      <c r="U35" s="14"/>
      <c r="V35" s="14"/>
    </row>
    <row r="36" ht="15.75" customHeight="1">
      <c r="A36" s="13" t="str">
        <f t="shared" si="1"/>
        <v/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3" t="str">
        <f t="shared" si="2"/>
        <v/>
      </c>
      <c r="N36" s="14"/>
      <c r="O36" s="14"/>
      <c r="P36" s="14"/>
      <c r="Q36" s="14"/>
      <c r="R36" s="15"/>
      <c r="S36" s="14"/>
      <c r="T36" s="13" t="str">
        <f t="shared" si="3"/>
        <v/>
      </c>
      <c r="U36" s="14"/>
      <c r="V36" s="14"/>
    </row>
    <row r="37" ht="15.75" customHeight="1">
      <c r="A37" s="13" t="str">
        <f t="shared" si="1"/>
        <v/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3" t="str">
        <f t="shared" si="2"/>
        <v/>
      </c>
      <c r="N37" s="14"/>
      <c r="O37" s="14"/>
      <c r="P37" s="14"/>
      <c r="Q37" s="14"/>
      <c r="R37" s="15"/>
      <c r="S37" s="14"/>
      <c r="T37" s="13" t="str">
        <f t="shared" si="3"/>
        <v/>
      </c>
      <c r="U37" s="14"/>
      <c r="V37" s="14"/>
    </row>
    <row r="38" ht="15.75" customHeight="1">
      <c r="A38" s="13" t="str">
        <f t="shared" si="1"/>
        <v/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3" t="str">
        <f t="shared" si="2"/>
        <v/>
      </c>
      <c r="N38" s="14"/>
      <c r="O38" s="14"/>
      <c r="P38" s="14"/>
      <c r="Q38" s="14"/>
      <c r="R38" s="15"/>
      <c r="S38" s="14"/>
      <c r="T38" s="13" t="str">
        <f t="shared" si="3"/>
        <v/>
      </c>
      <c r="U38" s="14"/>
      <c r="V38" s="14"/>
    </row>
    <row r="39" ht="15.75" customHeight="1">
      <c r="A39" s="13" t="str">
        <f t="shared" si="1"/>
        <v/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3" t="str">
        <f t="shared" si="2"/>
        <v/>
      </c>
      <c r="N39" s="14"/>
      <c r="O39" s="14"/>
      <c r="P39" s="14"/>
      <c r="Q39" s="14"/>
      <c r="R39" s="15"/>
      <c r="S39" s="14"/>
      <c r="T39" s="13" t="str">
        <f t="shared" si="3"/>
        <v/>
      </c>
      <c r="U39" s="14"/>
      <c r="V39" s="14"/>
    </row>
    <row r="40" ht="15.75" customHeight="1">
      <c r="A40" s="13" t="str">
        <f t="shared" si="1"/>
        <v/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3" t="str">
        <f t="shared" si="2"/>
        <v/>
      </c>
      <c r="N40" s="14"/>
      <c r="O40" s="14"/>
      <c r="P40" s="14"/>
      <c r="Q40" s="14"/>
      <c r="R40" s="15"/>
      <c r="S40" s="14"/>
      <c r="T40" s="13" t="str">
        <f t="shared" si="3"/>
        <v/>
      </c>
      <c r="U40" s="14"/>
      <c r="V40" s="14"/>
    </row>
    <row r="41" ht="15.75" customHeight="1">
      <c r="A41" s="13" t="str">
        <f t="shared" si="1"/>
        <v/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3" t="str">
        <f t="shared" si="2"/>
        <v/>
      </c>
      <c r="N41" s="14"/>
      <c r="O41" s="14"/>
      <c r="P41" s="14"/>
      <c r="Q41" s="14"/>
      <c r="R41" s="15"/>
      <c r="S41" s="14"/>
      <c r="T41" s="13" t="str">
        <f t="shared" si="3"/>
        <v/>
      </c>
      <c r="U41" s="14"/>
      <c r="V41" s="14"/>
    </row>
    <row r="42" ht="15.75" customHeight="1">
      <c r="A42" s="13" t="str">
        <f t="shared" si="1"/>
        <v/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3" t="str">
        <f t="shared" si="2"/>
        <v/>
      </c>
      <c r="N42" s="14"/>
      <c r="O42" s="14"/>
      <c r="P42" s="14"/>
      <c r="Q42" s="14"/>
      <c r="R42" s="15"/>
      <c r="S42" s="14"/>
      <c r="T42" s="13" t="str">
        <f t="shared" si="3"/>
        <v/>
      </c>
      <c r="U42" s="14"/>
      <c r="V42" s="14"/>
    </row>
    <row r="43" ht="15.75" customHeight="1">
      <c r="A43" s="13" t="str">
        <f t="shared" si="1"/>
        <v/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3" t="str">
        <f t="shared" si="2"/>
        <v/>
      </c>
      <c r="N43" s="14"/>
      <c r="O43" s="14"/>
      <c r="P43" s="14"/>
      <c r="Q43" s="14"/>
      <c r="R43" s="15"/>
      <c r="S43" s="14"/>
      <c r="T43" s="13" t="str">
        <f t="shared" si="3"/>
        <v/>
      </c>
      <c r="U43" s="14"/>
      <c r="V43" s="14"/>
    </row>
    <row r="44" ht="15.75" customHeight="1">
      <c r="A44" s="13" t="str">
        <f t="shared" si="1"/>
        <v/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3" t="str">
        <f t="shared" si="2"/>
        <v/>
      </c>
      <c r="N44" s="14"/>
      <c r="O44" s="14"/>
      <c r="P44" s="14"/>
      <c r="Q44" s="14"/>
      <c r="R44" s="15"/>
      <c r="S44" s="14"/>
      <c r="T44" s="13" t="str">
        <f t="shared" si="3"/>
        <v/>
      </c>
      <c r="U44" s="14"/>
      <c r="V44" s="14"/>
    </row>
    <row r="45" ht="15.75" customHeight="1">
      <c r="A45" s="13" t="str">
        <f t="shared" si="1"/>
        <v/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3" t="str">
        <f t="shared" si="2"/>
        <v/>
      </c>
      <c r="N45" s="14"/>
      <c r="O45" s="14"/>
      <c r="P45" s="14"/>
      <c r="Q45" s="14"/>
      <c r="R45" s="15"/>
      <c r="S45" s="14"/>
      <c r="T45" s="13" t="str">
        <f t="shared" si="3"/>
        <v/>
      </c>
      <c r="U45" s="14"/>
      <c r="V45" s="14"/>
    </row>
    <row r="46" ht="15.75" customHeight="1">
      <c r="A46" s="13" t="str">
        <f t="shared" si="1"/>
        <v/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3" t="str">
        <f t="shared" si="2"/>
        <v/>
      </c>
      <c r="N46" s="14"/>
      <c r="O46" s="14"/>
      <c r="P46" s="14"/>
      <c r="Q46" s="14"/>
      <c r="R46" s="15"/>
      <c r="S46" s="14"/>
      <c r="T46" s="13" t="str">
        <f t="shared" si="3"/>
        <v/>
      </c>
      <c r="U46" s="14"/>
      <c r="V46" s="14"/>
    </row>
    <row r="47" ht="15.75" customHeight="1">
      <c r="A47" s="13" t="str">
        <f t="shared" si="1"/>
        <v/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3" t="str">
        <f t="shared" si="2"/>
        <v/>
      </c>
      <c r="N47" s="14"/>
      <c r="O47" s="14"/>
      <c r="P47" s="14"/>
      <c r="Q47" s="14"/>
      <c r="R47" s="15"/>
      <c r="S47" s="14"/>
      <c r="T47" s="13" t="str">
        <f t="shared" si="3"/>
        <v/>
      </c>
      <c r="U47" s="14"/>
      <c r="V47" s="14"/>
    </row>
    <row r="48" ht="15.75" customHeight="1">
      <c r="A48" s="13" t="str">
        <f t="shared" si="1"/>
        <v/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3" t="str">
        <f t="shared" si="2"/>
        <v/>
      </c>
      <c r="N48" s="14"/>
      <c r="O48" s="14"/>
      <c r="P48" s="14"/>
      <c r="Q48" s="14"/>
      <c r="R48" s="15"/>
      <c r="S48" s="14"/>
      <c r="T48" s="13" t="str">
        <f t="shared" si="3"/>
        <v/>
      </c>
      <c r="U48" s="14"/>
      <c r="V48" s="14"/>
    </row>
    <row r="49" ht="15.75" customHeight="1">
      <c r="A49" s="13" t="str">
        <f t="shared" si="1"/>
        <v/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3" t="str">
        <f t="shared" si="2"/>
        <v/>
      </c>
      <c r="N49" s="14"/>
      <c r="O49" s="14"/>
      <c r="P49" s="14"/>
      <c r="Q49" s="14"/>
      <c r="R49" s="15"/>
      <c r="S49" s="14"/>
      <c r="T49" s="13" t="str">
        <f t="shared" si="3"/>
        <v/>
      </c>
      <c r="U49" s="14"/>
      <c r="V49" s="14"/>
    </row>
    <row r="50" ht="15.75" customHeight="1">
      <c r="A50" s="13" t="str">
        <f t="shared" si="1"/>
        <v/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3" t="str">
        <f t="shared" si="2"/>
        <v/>
      </c>
      <c r="N50" s="14"/>
      <c r="O50" s="14"/>
      <c r="P50" s="14"/>
      <c r="Q50" s="14"/>
      <c r="R50" s="15"/>
      <c r="S50" s="14"/>
      <c r="T50" s="13" t="str">
        <f t="shared" si="3"/>
        <v/>
      </c>
      <c r="U50" s="14"/>
      <c r="V50" s="14"/>
    </row>
    <row r="51" ht="15.75" customHeight="1">
      <c r="A51" s="13" t="str">
        <f t="shared" si="1"/>
        <v/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3" t="str">
        <f t="shared" si="2"/>
        <v/>
      </c>
      <c r="N51" s="14"/>
      <c r="O51" s="14"/>
      <c r="P51" s="14"/>
      <c r="Q51" s="14"/>
      <c r="R51" s="15"/>
      <c r="S51" s="14"/>
      <c r="T51" s="13" t="str">
        <f t="shared" si="3"/>
        <v/>
      </c>
      <c r="U51" s="14"/>
      <c r="V51" s="14"/>
    </row>
    <row r="52" ht="15.75" customHeight="1">
      <c r="A52" s="13" t="str">
        <f t="shared" si="1"/>
        <v/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3" t="str">
        <f t="shared" si="2"/>
        <v/>
      </c>
      <c r="N52" s="14"/>
      <c r="O52" s="14"/>
      <c r="P52" s="14"/>
      <c r="Q52" s="14"/>
      <c r="R52" s="15"/>
      <c r="S52" s="14"/>
      <c r="T52" s="13" t="str">
        <f t="shared" si="3"/>
        <v/>
      </c>
      <c r="U52" s="14"/>
      <c r="V52" s="14"/>
    </row>
    <row r="53" ht="15.75" customHeight="1">
      <c r="A53" s="13" t="str">
        <f t="shared" si="1"/>
        <v/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3" t="str">
        <f t="shared" si="2"/>
        <v/>
      </c>
      <c r="N53" s="14"/>
      <c r="O53" s="14"/>
      <c r="P53" s="14"/>
      <c r="Q53" s="14"/>
      <c r="R53" s="15"/>
      <c r="S53" s="14"/>
      <c r="T53" s="13" t="str">
        <f t="shared" si="3"/>
        <v/>
      </c>
      <c r="U53" s="14"/>
      <c r="V53" s="14"/>
    </row>
    <row r="54" ht="15.75" customHeight="1">
      <c r="A54" s="13" t="str">
        <f t="shared" si="1"/>
        <v/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3" t="str">
        <f t="shared" si="2"/>
        <v/>
      </c>
      <c r="N54" s="14"/>
      <c r="O54" s="14"/>
      <c r="P54" s="14"/>
      <c r="Q54" s="14"/>
      <c r="R54" s="15"/>
      <c r="S54" s="14"/>
      <c r="T54" s="13" t="str">
        <f t="shared" si="3"/>
        <v/>
      </c>
      <c r="U54" s="14"/>
      <c r="V54" s="14"/>
    </row>
    <row r="55" ht="15.75" customHeight="1">
      <c r="A55" s="13" t="str">
        <f t="shared" si="1"/>
        <v/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3" t="str">
        <f t="shared" si="2"/>
        <v/>
      </c>
      <c r="N55" s="14"/>
      <c r="O55" s="14"/>
      <c r="P55" s="14"/>
      <c r="Q55" s="14"/>
      <c r="R55" s="15"/>
      <c r="S55" s="14"/>
      <c r="T55" s="13" t="str">
        <f t="shared" si="3"/>
        <v/>
      </c>
      <c r="U55" s="14"/>
      <c r="V55" s="14"/>
    </row>
    <row r="56" ht="15.75" customHeight="1">
      <c r="A56" s="13" t="str">
        <f t="shared" si="1"/>
        <v/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3" t="str">
        <f t="shared" si="2"/>
        <v/>
      </c>
      <c r="N56" s="14"/>
      <c r="O56" s="14"/>
      <c r="P56" s="14"/>
      <c r="Q56" s="14"/>
      <c r="R56" s="15"/>
      <c r="S56" s="14"/>
      <c r="T56" s="13" t="str">
        <f t="shared" si="3"/>
        <v/>
      </c>
      <c r="U56" s="14"/>
      <c r="V56" s="14"/>
    </row>
    <row r="57" ht="15.75" customHeight="1">
      <c r="A57" s="13" t="str">
        <f t="shared" si="1"/>
        <v/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3" t="str">
        <f t="shared" si="2"/>
        <v/>
      </c>
      <c r="N57" s="14"/>
      <c r="O57" s="14"/>
      <c r="P57" s="14"/>
      <c r="Q57" s="14"/>
      <c r="R57" s="15"/>
      <c r="S57" s="14"/>
      <c r="T57" s="13" t="str">
        <f t="shared" si="3"/>
        <v/>
      </c>
      <c r="U57" s="14"/>
      <c r="V57" s="14"/>
    </row>
    <row r="58" ht="15.75" customHeight="1">
      <c r="A58" s="13" t="str">
        <f t="shared" si="1"/>
        <v/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3" t="str">
        <f t="shared" si="2"/>
        <v/>
      </c>
      <c r="N58" s="14"/>
      <c r="O58" s="14"/>
      <c r="P58" s="14"/>
      <c r="Q58" s="14"/>
      <c r="R58" s="15"/>
      <c r="S58" s="14"/>
      <c r="T58" s="13" t="str">
        <f t="shared" si="3"/>
        <v/>
      </c>
      <c r="U58" s="14"/>
      <c r="V58" s="14"/>
    </row>
    <row r="59" ht="15.75" customHeight="1">
      <c r="A59" s="13" t="str">
        <f t="shared" si="1"/>
        <v/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3" t="str">
        <f t="shared" si="2"/>
        <v/>
      </c>
      <c r="N59" s="14"/>
      <c r="O59" s="14"/>
      <c r="P59" s="14"/>
      <c r="Q59" s="14"/>
      <c r="R59" s="15"/>
      <c r="S59" s="14"/>
      <c r="T59" s="13" t="str">
        <f t="shared" si="3"/>
        <v/>
      </c>
      <c r="U59" s="14"/>
      <c r="V59" s="14"/>
    </row>
    <row r="60" ht="15.75" customHeight="1">
      <c r="A60" s="13" t="str">
        <f t="shared" si="1"/>
        <v/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3" t="str">
        <f t="shared" si="2"/>
        <v/>
      </c>
      <c r="N60" s="14"/>
      <c r="O60" s="14"/>
      <c r="P60" s="14"/>
      <c r="Q60" s="14"/>
      <c r="R60" s="15"/>
      <c r="S60" s="14"/>
      <c r="T60" s="13" t="str">
        <f t="shared" si="3"/>
        <v/>
      </c>
      <c r="U60" s="14"/>
      <c r="V60" s="14"/>
    </row>
    <row r="61" ht="15.75" customHeight="1">
      <c r="A61" s="13" t="str">
        <f t="shared" si="1"/>
        <v/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3" t="str">
        <f t="shared" si="2"/>
        <v/>
      </c>
      <c r="N61" s="14"/>
      <c r="O61" s="14"/>
      <c r="P61" s="14"/>
      <c r="Q61" s="14"/>
      <c r="R61" s="15"/>
      <c r="S61" s="14"/>
      <c r="T61" s="13" t="str">
        <f t="shared" si="3"/>
        <v/>
      </c>
      <c r="U61" s="14"/>
      <c r="V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R2:R61">
      <formula1>People_Roster!$A$2:$A$61</formula1>
    </dataValidation>
    <dataValidation type="list" allowBlank="1" showInputMessage="1" showErrorMessage="1" prompt="Invalid entry - Please choose a value from the dropdown list only." sqref="P2:P61">
      <formula1>Lists!$I$2:$I$4</formula1>
    </dataValidation>
    <dataValidation type="list" allowBlank="1" showInputMessage="1" showErrorMessage="1" prompt="Invalid entry - Please choose a value from the dropdown list only." sqref="J2:J61">
      <formula1>Lists!$K$2:$K$4</formula1>
    </dataValidation>
    <dataValidation type="list" allowBlank="1" showInputMessage="1" showErrorMessage="1" prompt="Invalid entry - Please choose a value from the dropdown list only." sqref="Q2:Q61">
      <formula1>Lists!$J$2:$J$6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7" width="22.0"/>
    <col customWidth="1" min="18" max="26" width="8.71"/>
  </cols>
  <sheetData>
    <row r="1" ht="30.0" customHeight="1">
      <c r="A1" s="5" t="s">
        <v>259</v>
      </c>
      <c r="B1" s="5" t="s">
        <v>261</v>
      </c>
      <c r="C1" s="5" t="s">
        <v>263</v>
      </c>
      <c r="D1" s="5" t="s">
        <v>208</v>
      </c>
      <c r="E1" s="5" t="s">
        <v>214</v>
      </c>
      <c r="F1" s="5" t="s">
        <v>264</v>
      </c>
      <c r="G1" s="5" t="s">
        <v>243</v>
      </c>
      <c r="H1" s="5" t="s">
        <v>244</v>
      </c>
      <c r="I1" s="5" t="s">
        <v>265</v>
      </c>
      <c r="J1" s="5" t="s">
        <v>266</v>
      </c>
      <c r="K1" s="5" t="s">
        <v>267</v>
      </c>
      <c r="L1" s="5" t="s">
        <v>268</v>
      </c>
      <c r="M1" s="5" t="s">
        <v>269</v>
      </c>
      <c r="N1" s="5" t="s">
        <v>270</v>
      </c>
      <c r="O1" s="5" t="s">
        <v>271</v>
      </c>
      <c r="P1" s="5" t="s">
        <v>272</v>
      </c>
      <c r="Q1" s="5" t="s">
        <v>262</v>
      </c>
    </row>
    <row r="2">
      <c r="A2" s="13" t="str">
        <f t="shared" ref="A2:A61" si="1">IF($B2="","","ACTV-"&amp;TEXT(ROW()-1,"000"))</f>
        <v/>
      </c>
      <c r="B2" s="14"/>
      <c r="C2" s="14"/>
      <c r="D2" s="15"/>
      <c r="E2" s="15"/>
      <c r="F2" s="14"/>
      <c r="G2" s="15"/>
      <c r="H2" s="14"/>
      <c r="I2" s="14"/>
      <c r="J2" s="14"/>
      <c r="K2" s="14"/>
      <c r="L2" s="13" t="str">
        <f t="shared" ref="L2:L61" si="2">IF($B2="","",IF($J2="","",$J2-$K2))</f>
        <v/>
      </c>
      <c r="M2" s="14"/>
      <c r="N2" s="14"/>
      <c r="O2" s="15"/>
      <c r="P2" s="14"/>
      <c r="Q2" s="14"/>
    </row>
    <row r="3">
      <c r="A3" s="13" t="str">
        <f t="shared" si="1"/>
        <v/>
      </c>
      <c r="B3" s="14"/>
      <c r="C3" s="14"/>
      <c r="D3" s="15"/>
      <c r="E3" s="15"/>
      <c r="F3" s="14"/>
      <c r="G3" s="15"/>
      <c r="H3" s="14"/>
      <c r="I3" s="14"/>
      <c r="J3" s="14"/>
      <c r="K3" s="14"/>
      <c r="L3" s="13" t="str">
        <f t="shared" si="2"/>
        <v/>
      </c>
      <c r="M3" s="14"/>
      <c r="N3" s="14"/>
      <c r="O3" s="15"/>
      <c r="P3" s="14"/>
      <c r="Q3" s="14"/>
    </row>
    <row r="4">
      <c r="A4" s="13" t="str">
        <f t="shared" si="1"/>
        <v/>
      </c>
      <c r="B4" s="14"/>
      <c r="C4" s="14"/>
      <c r="D4" s="15"/>
      <c r="E4" s="15"/>
      <c r="F4" s="14"/>
      <c r="G4" s="15"/>
      <c r="H4" s="14"/>
      <c r="I4" s="14"/>
      <c r="J4" s="14"/>
      <c r="K4" s="14"/>
      <c r="L4" s="13" t="str">
        <f t="shared" si="2"/>
        <v/>
      </c>
      <c r="M4" s="14"/>
      <c r="N4" s="14"/>
      <c r="O4" s="15"/>
      <c r="P4" s="14"/>
      <c r="Q4" s="14"/>
    </row>
    <row r="5">
      <c r="A5" s="13" t="str">
        <f t="shared" si="1"/>
        <v/>
      </c>
      <c r="B5" s="14"/>
      <c r="C5" s="14"/>
      <c r="D5" s="15"/>
      <c r="E5" s="15"/>
      <c r="F5" s="14"/>
      <c r="G5" s="15"/>
      <c r="H5" s="14"/>
      <c r="I5" s="14"/>
      <c r="J5" s="14"/>
      <c r="K5" s="14"/>
      <c r="L5" s="13" t="str">
        <f t="shared" si="2"/>
        <v/>
      </c>
      <c r="M5" s="14"/>
      <c r="N5" s="14"/>
      <c r="O5" s="15"/>
      <c r="P5" s="14"/>
      <c r="Q5" s="14"/>
    </row>
    <row r="6">
      <c r="A6" s="13" t="str">
        <f t="shared" si="1"/>
        <v/>
      </c>
      <c r="B6" s="14"/>
      <c r="C6" s="14"/>
      <c r="D6" s="15"/>
      <c r="E6" s="15"/>
      <c r="F6" s="14"/>
      <c r="G6" s="15"/>
      <c r="H6" s="14"/>
      <c r="I6" s="14"/>
      <c r="J6" s="14"/>
      <c r="K6" s="14"/>
      <c r="L6" s="13" t="str">
        <f t="shared" si="2"/>
        <v/>
      </c>
      <c r="M6" s="14"/>
      <c r="N6" s="14"/>
      <c r="O6" s="15"/>
      <c r="P6" s="14"/>
      <c r="Q6" s="14"/>
    </row>
    <row r="7">
      <c r="A7" s="13" t="str">
        <f t="shared" si="1"/>
        <v/>
      </c>
      <c r="B7" s="14"/>
      <c r="C7" s="14"/>
      <c r="D7" s="15"/>
      <c r="E7" s="15"/>
      <c r="F7" s="14"/>
      <c r="G7" s="15"/>
      <c r="H7" s="14"/>
      <c r="I7" s="14"/>
      <c r="J7" s="14"/>
      <c r="K7" s="14"/>
      <c r="L7" s="13" t="str">
        <f t="shared" si="2"/>
        <v/>
      </c>
      <c r="M7" s="14"/>
      <c r="N7" s="14"/>
      <c r="O7" s="15"/>
      <c r="P7" s="14"/>
      <c r="Q7" s="14"/>
    </row>
    <row r="8">
      <c r="A8" s="13" t="str">
        <f t="shared" si="1"/>
        <v/>
      </c>
      <c r="B8" s="14"/>
      <c r="C8" s="14"/>
      <c r="D8" s="15"/>
      <c r="E8" s="15"/>
      <c r="F8" s="14"/>
      <c r="G8" s="15"/>
      <c r="H8" s="14"/>
      <c r="I8" s="14"/>
      <c r="J8" s="14"/>
      <c r="K8" s="14"/>
      <c r="L8" s="13" t="str">
        <f t="shared" si="2"/>
        <v/>
      </c>
      <c r="M8" s="14"/>
      <c r="N8" s="14"/>
      <c r="O8" s="15"/>
      <c r="P8" s="14"/>
      <c r="Q8" s="14"/>
    </row>
    <row r="9">
      <c r="A9" s="13" t="str">
        <f t="shared" si="1"/>
        <v/>
      </c>
      <c r="B9" s="14"/>
      <c r="C9" s="14"/>
      <c r="D9" s="15"/>
      <c r="E9" s="15"/>
      <c r="F9" s="14"/>
      <c r="G9" s="15"/>
      <c r="H9" s="14"/>
      <c r="I9" s="14"/>
      <c r="J9" s="14"/>
      <c r="K9" s="14"/>
      <c r="L9" s="13" t="str">
        <f t="shared" si="2"/>
        <v/>
      </c>
      <c r="M9" s="14"/>
      <c r="N9" s="14"/>
      <c r="O9" s="15"/>
      <c r="P9" s="14"/>
      <c r="Q9" s="14"/>
    </row>
    <row r="10">
      <c r="A10" s="13" t="str">
        <f t="shared" si="1"/>
        <v/>
      </c>
      <c r="B10" s="14"/>
      <c r="C10" s="14"/>
      <c r="D10" s="15"/>
      <c r="E10" s="15"/>
      <c r="F10" s="14"/>
      <c r="G10" s="15"/>
      <c r="H10" s="14"/>
      <c r="I10" s="14"/>
      <c r="J10" s="14"/>
      <c r="K10" s="14"/>
      <c r="L10" s="13" t="str">
        <f t="shared" si="2"/>
        <v/>
      </c>
      <c r="M10" s="14"/>
      <c r="N10" s="14"/>
      <c r="O10" s="15"/>
      <c r="P10" s="14"/>
      <c r="Q10" s="14"/>
    </row>
    <row r="11">
      <c r="A11" s="13" t="str">
        <f t="shared" si="1"/>
        <v/>
      </c>
      <c r="B11" s="14"/>
      <c r="C11" s="14"/>
      <c r="D11" s="15"/>
      <c r="E11" s="15"/>
      <c r="F11" s="14"/>
      <c r="G11" s="15"/>
      <c r="H11" s="14"/>
      <c r="I11" s="14"/>
      <c r="J11" s="14"/>
      <c r="K11" s="14"/>
      <c r="L11" s="13" t="str">
        <f t="shared" si="2"/>
        <v/>
      </c>
      <c r="M11" s="14"/>
      <c r="N11" s="14"/>
      <c r="O11" s="15"/>
      <c r="P11" s="14"/>
      <c r="Q11" s="14"/>
    </row>
    <row r="12">
      <c r="A12" s="13" t="str">
        <f t="shared" si="1"/>
        <v/>
      </c>
      <c r="B12" s="14"/>
      <c r="C12" s="14"/>
      <c r="D12" s="15"/>
      <c r="E12" s="15"/>
      <c r="F12" s="14"/>
      <c r="G12" s="15"/>
      <c r="H12" s="14"/>
      <c r="I12" s="14"/>
      <c r="J12" s="14"/>
      <c r="K12" s="14"/>
      <c r="L12" s="13" t="str">
        <f t="shared" si="2"/>
        <v/>
      </c>
      <c r="M12" s="14"/>
      <c r="N12" s="14"/>
      <c r="O12" s="15"/>
      <c r="P12" s="14"/>
      <c r="Q12" s="14"/>
    </row>
    <row r="13">
      <c r="A13" s="13" t="str">
        <f t="shared" si="1"/>
        <v/>
      </c>
      <c r="B13" s="14"/>
      <c r="C13" s="14"/>
      <c r="D13" s="15"/>
      <c r="E13" s="15"/>
      <c r="F13" s="14"/>
      <c r="G13" s="15"/>
      <c r="H13" s="14"/>
      <c r="I13" s="14"/>
      <c r="J13" s="14"/>
      <c r="K13" s="14"/>
      <c r="L13" s="13" t="str">
        <f t="shared" si="2"/>
        <v/>
      </c>
      <c r="M13" s="14"/>
      <c r="N13" s="14"/>
      <c r="O13" s="15"/>
      <c r="P13" s="14"/>
      <c r="Q13" s="14"/>
    </row>
    <row r="14">
      <c r="A14" s="13" t="str">
        <f t="shared" si="1"/>
        <v/>
      </c>
      <c r="B14" s="14"/>
      <c r="C14" s="14"/>
      <c r="D14" s="15"/>
      <c r="E14" s="15"/>
      <c r="F14" s="14"/>
      <c r="G14" s="15"/>
      <c r="H14" s="14"/>
      <c r="I14" s="14"/>
      <c r="J14" s="14"/>
      <c r="K14" s="14"/>
      <c r="L14" s="13" t="str">
        <f t="shared" si="2"/>
        <v/>
      </c>
      <c r="M14" s="14"/>
      <c r="N14" s="14"/>
      <c r="O14" s="15"/>
      <c r="P14" s="14"/>
      <c r="Q14" s="14"/>
    </row>
    <row r="15">
      <c r="A15" s="13" t="str">
        <f t="shared" si="1"/>
        <v/>
      </c>
      <c r="B15" s="14"/>
      <c r="C15" s="14"/>
      <c r="D15" s="15"/>
      <c r="E15" s="15"/>
      <c r="F15" s="14"/>
      <c r="G15" s="15"/>
      <c r="H15" s="14"/>
      <c r="I15" s="14"/>
      <c r="J15" s="14"/>
      <c r="K15" s="14"/>
      <c r="L15" s="13" t="str">
        <f t="shared" si="2"/>
        <v/>
      </c>
      <c r="M15" s="14"/>
      <c r="N15" s="14"/>
      <c r="O15" s="15"/>
      <c r="P15" s="14"/>
      <c r="Q15" s="14"/>
    </row>
    <row r="16">
      <c r="A16" s="13" t="str">
        <f t="shared" si="1"/>
        <v/>
      </c>
      <c r="B16" s="14"/>
      <c r="C16" s="14"/>
      <c r="D16" s="15"/>
      <c r="E16" s="15"/>
      <c r="F16" s="14"/>
      <c r="G16" s="15"/>
      <c r="H16" s="14"/>
      <c r="I16" s="14"/>
      <c r="J16" s="14"/>
      <c r="K16" s="14"/>
      <c r="L16" s="13" t="str">
        <f t="shared" si="2"/>
        <v/>
      </c>
      <c r="M16" s="14"/>
      <c r="N16" s="14"/>
      <c r="O16" s="15"/>
      <c r="P16" s="14"/>
      <c r="Q16" s="14"/>
    </row>
    <row r="17">
      <c r="A17" s="13" t="str">
        <f t="shared" si="1"/>
        <v/>
      </c>
      <c r="B17" s="14"/>
      <c r="C17" s="14"/>
      <c r="D17" s="15"/>
      <c r="E17" s="15"/>
      <c r="F17" s="14"/>
      <c r="G17" s="15"/>
      <c r="H17" s="14"/>
      <c r="I17" s="14"/>
      <c r="J17" s="14"/>
      <c r="K17" s="14"/>
      <c r="L17" s="13" t="str">
        <f t="shared" si="2"/>
        <v/>
      </c>
      <c r="M17" s="14"/>
      <c r="N17" s="14"/>
      <c r="O17" s="15"/>
      <c r="P17" s="14"/>
      <c r="Q17" s="14"/>
    </row>
    <row r="18">
      <c r="A18" s="13" t="str">
        <f t="shared" si="1"/>
        <v/>
      </c>
      <c r="B18" s="14"/>
      <c r="C18" s="14"/>
      <c r="D18" s="15"/>
      <c r="E18" s="15"/>
      <c r="F18" s="14"/>
      <c r="G18" s="15"/>
      <c r="H18" s="14"/>
      <c r="I18" s="14"/>
      <c r="J18" s="14"/>
      <c r="K18" s="14"/>
      <c r="L18" s="13" t="str">
        <f t="shared" si="2"/>
        <v/>
      </c>
      <c r="M18" s="14"/>
      <c r="N18" s="14"/>
      <c r="O18" s="15"/>
      <c r="P18" s="14"/>
      <c r="Q18" s="14"/>
    </row>
    <row r="19">
      <c r="A19" s="13" t="str">
        <f t="shared" si="1"/>
        <v/>
      </c>
      <c r="B19" s="14"/>
      <c r="C19" s="14"/>
      <c r="D19" s="15"/>
      <c r="E19" s="15"/>
      <c r="F19" s="14"/>
      <c r="G19" s="15"/>
      <c r="H19" s="14"/>
      <c r="I19" s="14"/>
      <c r="J19" s="14"/>
      <c r="K19" s="14"/>
      <c r="L19" s="13" t="str">
        <f t="shared" si="2"/>
        <v/>
      </c>
      <c r="M19" s="14"/>
      <c r="N19" s="14"/>
      <c r="O19" s="15"/>
      <c r="P19" s="14"/>
      <c r="Q19" s="14"/>
    </row>
    <row r="20">
      <c r="A20" s="13" t="str">
        <f t="shared" si="1"/>
        <v/>
      </c>
      <c r="B20" s="14"/>
      <c r="C20" s="14"/>
      <c r="D20" s="15"/>
      <c r="E20" s="15"/>
      <c r="F20" s="14"/>
      <c r="G20" s="15"/>
      <c r="H20" s="14"/>
      <c r="I20" s="14"/>
      <c r="J20" s="14"/>
      <c r="K20" s="14"/>
      <c r="L20" s="13" t="str">
        <f t="shared" si="2"/>
        <v/>
      </c>
      <c r="M20" s="14"/>
      <c r="N20" s="14"/>
      <c r="O20" s="15"/>
      <c r="P20" s="14"/>
      <c r="Q20" s="14"/>
    </row>
    <row r="21" ht="15.75" customHeight="1">
      <c r="A21" s="13" t="str">
        <f t="shared" si="1"/>
        <v/>
      </c>
      <c r="B21" s="14"/>
      <c r="C21" s="14"/>
      <c r="D21" s="15"/>
      <c r="E21" s="15"/>
      <c r="F21" s="14"/>
      <c r="G21" s="15"/>
      <c r="H21" s="14"/>
      <c r="I21" s="14"/>
      <c r="J21" s="14"/>
      <c r="K21" s="14"/>
      <c r="L21" s="13" t="str">
        <f t="shared" si="2"/>
        <v/>
      </c>
      <c r="M21" s="14"/>
      <c r="N21" s="14"/>
      <c r="O21" s="15"/>
      <c r="P21" s="14"/>
      <c r="Q21" s="14"/>
    </row>
    <row r="22" ht="15.75" customHeight="1">
      <c r="A22" s="13" t="str">
        <f t="shared" si="1"/>
        <v/>
      </c>
      <c r="B22" s="14"/>
      <c r="C22" s="14"/>
      <c r="D22" s="15"/>
      <c r="E22" s="15"/>
      <c r="F22" s="14"/>
      <c r="G22" s="15"/>
      <c r="H22" s="14"/>
      <c r="I22" s="14"/>
      <c r="J22" s="14"/>
      <c r="K22" s="14"/>
      <c r="L22" s="13" t="str">
        <f t="shared" si="2"/>
        <v/>
      </c>
      <c r="M22" s="14"/>
      <c r="N22" s="14"/>
      <c r="O22" s="15"/>
      <c r="P22" s="14"/>
      <c r="Q22" s="14"/>
    </row>
    <row r="23" ht="15.75" customHeight="1">
      <c r="A23" s="13" t="str">
        <f t="shared" si="1"/>
        <v/>
      </c>
      <c r="B23" s="14"/>
      <c r="C23" s="14"/>
      <c r="D23" s="15"/>
      <c r="E23" s="15"/>
      <c r="F23" s="14"/>
      <c r="G23" s="15"/>
      <c r="H23" s="14"/>
      <c r="I23" s="14"/>
      <c r="J23" s="14"/>
      <c r="K23" s="14"/>
      <c r="L23" s="13" t="str">
        <f t="shared" si="2"/>
        <v/>
      </c>
      <c r="M23" s="14"/>
      <c r="N23" s="14"/>
      <c r="O23" s="15"/>
      <c r="P23" s="14"/>
      <c r="Q23" s="14"/>
    </row>
    <row r="24" ht="15.75" customHeight="1">
      <c r="A24" s="13" t="str">
        <f t="shared" si="1"/>
        <v/>
      </c>
      <c r="B24" s="14"/>
      <c r="C24" s="14"/>
      <c r="D24" s="15"/>
      <c r="E24" s="15"/>
      <c r="F24" s="14"/>
      <c r="G24" s="15"/>
      <c r="H24" s="14"/>
      <c r="I24" s="14"/>
      <c r="J24" s="14"/>
      <c r="K24" s="14"/>
      <c r="L24" s="13" t="str">
        <f t="shared" si="2"/>
        <v/>
      </c>
      <c r="M24" s="14"/>
      <c r="N24" s="14"/>
      <c r="O24" s="15"/>
      <c r="P24" s="14"/>
      <c r="Q24" s="14"/>
    </row>
    <row r="25" ht="15.75" customHeight="1">
      <c r="A25" s="13" t="str">
        <f t="shared" si="1"/>
        <v/>
      </c>
      <c r="B25" s="14"/>
      <c r="C25" s="14"/>
      <c r="D25" s="15"/>
      <c r="E25" s="15"/>
      <c r="F25" s="14"/>
      <c r="G25" s="15"/>
      <c r="H25" s="14"/>
      <c r="I25" s="14"/>
      <c r="J25" s="14"/>
      <c r="K25" s="14"/>
      <c r="L25" s="13" t="str">
        <f t="shared" si="2"/>
        <v/>
      </c>
      <c r="M25" s="14"/>
      <c r="N25" s="14"/>
      <c r="O25" s="15"/>
      <c r="P25" s="14"/>
      <c r="Q25" s="14"/>
    </row>
    <row r="26" ht="15.75" customHeight="1">
      <c r="A26" s="13" t="str">
        <f t="shared" si="1"/>
        <v/>
      </c>
      <c r="B26" s="14"/>
      <c r="C26" s="14"/>
      <c r="D26" s="15"/>
      <c r="E26" s="15"/>
      <c r="F26" s="14"/>
      <c r="G26" s="15"/>
      <c r="H26" s="14"/>
      <c r="I26" s="14"/>
      <c r="J26" s="14"/>
      <c r="K26" s="14"/>
      <c r="L26" s="13" t="str">
        <f t="shared" si="2"/>
        <v/>
      </c>
      <c r="M26" s="14"/>
      <c r="N26" s="14"/>
      <c r="O26" s="15"/>
      <c r="P26" s="14"/>
      <c r="Q26" s="14"/>
    </row>
    <row r="27" ht="15.75" customHeight="1">
      <c r="A27" s="13" t="str">
        <f t="shared" si="1"/>
        <v/>
      </c>
      <c r="B27" s="14"/>
      <c r="C27" s="14"/>
      <c r="D27" s="15"/>
      <c r="E27" s="15"/>
      <c r="F27" s="14"/>
      <c r="G27" s="15"/>
      <c r="H27" s="14"/>
      <c r="I27" s="14"/>
      <c r="J27" s="14"/>
      <c r="K27" s="14"/>
      <c r="L27" s="13" t="str">
        <f t="shared" si="2"/>
        <v/>
      </c>
      <c r="M27" s="14"/>
      <c r="N27" s="14"/>
      <c r="O27" s="15"/>
      <c r="P27" s="14"/>
      <c r="Q27" s="14"/>
    </row>
    <row r="28" ht="15.75" customHeight="1">
      <c r="A28" s="13" t="str">
        <f t="shared" si="1"/>
        <v/>
      </c>
      <c r="B28" s="14"/>
      <c r="C28" s="14"/>
      <c r="D28" s="15"/>
      <c r="E28" s="15"/>
      <c r="F28" s="14"/>
      <c r="G28" s="15"/>
      <c r="H28" s="14"/>
      <c r="I28" s="14"/>
      <c r="J28" s="14"/>
      <c r="K28" s="14"/>
      <c r="L28" s="13" t="str">
        <f t="shared" si="2"/>
        <v/>
      </c>
      <c r="M28" s="14"/>
      <c r="N28" s="14"/>
      <c r="O28" s="15"/>
      <c r="P28" s="14"/>
      <c r="Q28" s="14"/>
    </row>
    <row r="29" ht="15.75" customHeight="1">
      <c r="A29" s="13" t="str">
        <f t="shared" si="1"/>
        <v/>
      </c>
      <c r="B29" s="14"/>
      <c r="C29" s="14"/>
      <c r="D29" s="15"/>
      <c r="E29" s="15"/>
      <c r="F29" s="14"/>
      <c r="G29" s="15"/>
      <c r="H29" s="14"/>
      <c r="I29" s="14"/>
      <c r="J29" s="14"/>
      <c r="K29" s="14"/>
      <c r="L29" s="13" t="str">
        <f t="shared" si="2"/>
        <v/>
      </c>
      <c r="M29" s="14"/>
      <c r="N29" s="14"/>
      <c r="O29" s="15"/>
      <c r="P29" s="14"/>
      <c r="Q29" s="14"/>
    </row>
    <row r="30" ht="15.75" customHeight="1">
      <c r="A30" s="13" t="str">
        <f t="shared" si="1"/>
        <v/>
      </c>
      <c r="B30" s="14"/>
      <c r="C30" s="14"/>
      <c r="D30" s="15"/>
      <c r="E30" s="15"/>
      <c r="F30" s="14"/>
      <c r="G30" s="15"/>
      <c r="H30" s="14"/>
      <c r="I30" s="14"/>
      <c r="J30" s="14"/>
      <c r="K30" s="14"/>
      <c r="L30" s="13" t="str">
        <f t="shared" si="2"/>
        <v/>
      </c>
      <c r="M30" s="14"/>
      <c r="N30" s="14"/>
      <c r="O30" s="15"/>
      <c r="P30" s="14"/>
      <c r="Q30" s="14"/>
    </row>
    <row r="31" ht="15.75" customHeight="1">
      <c r="A31" s="13" t="str">
        <f t="shared" si="1"/>
        <v/>
      </c>
      <c r="B31" s="14"/>
      <c r="C31" s="14"/>
      <c r="D31" s="15"/>
      <c r="E31" s="15"/>
      <c r="F31" s="14"/>
      <c r="G31" s="15"/>
      <c r="H31" s="14"/>
      <c r="I31" s="14"/>
      <c r="J31" s="14"/>
      <c r="K31" s="14"/>
      <c r="L31" s="13" t="str">
        <f t="shared" si="2"/>
        <v/>
      </c>
      <c r="M31" s="14"/>
      <c r="N31" s="14"/>
      <c r="O31" s="15"/>
      <c r="P31" s="14"/>
      <c r="Q31" s="14"/>
    </row>
    <row r="32" ht="15.75" customHeight="1">
      <c r="A32" s="13" t="str">
        <f t="shared" si="1"/>
        <v/>
      </c>
      <c r="B32" s="14"/>
      <c r="C32" s="14"/>
      <c r="D32" s="15"/>
      <c r="E32" s="15"/>
      <c r="F32" s="14"/>
      <c r="G32" s="15"/>
      <c r="H32" s="14"/>
      <c r="I32" s="14"/>
      <c r="J32" s="14"/>
      <c r="K32" s="14"/>
      <c r="L32" s="13" t="str">
        <f t="shared" si="2"/>
        <v/>
      </c>
      <c r="M32" s="14"/>
      <c r="N32" s="14"/>
      <c r="O32" s="15"/>
      <c r="P32" s="14"/>
      <c r="Q32" s="14"/>
    </row>
    <row r="33" ht="15.75" customHeight="1">
      <c r="A33" s="13" t="str">
        <f t="shared" si="1"/>
        <v/>
      </c>
      <c r="B33" s="14"/>
      <c r="C33" s="14"/>
      <c r="D33" s="15"/>
      <c r="E33" s="15"/>
      <c r="F33" s="14"/>
      <c r="G33" s="15"/>
      <c r="H33" s="14"/>
      <c r="I33" s="14"/>
      <c r="J33" s="14"/>
      <c r="K33" s="14"/>
      <c r="L33" s="13" t="str">
        <f t="shared" si="2"/>
        <v/>
      </c>
      <c r="M33" s="14"/>
      <c r="N33" s="14"/>
      <c r="O33" s="15"/>
      <c r="P33" s="14"/>
      <c r="Q33" s="14"/>
    </row>
    <row r="34" ht="15.75" customHeight="1">
      <c r="A34" s="13" t="str">
        <f t="shared" si="1"/>
        <v/>
      </c>
      <c r="B34" s="14"/>
      <c r="C34" s="14"/>
      <c r="D34" s="15"/>
      <c r="E34" s="15"/>
      <c r="F34" s="14"/>
      <c r="G34" s="15"/>
      <c r="H34" s="14"/>
      <c r="I34" s="14"/>
      <c r="J34" s="14"/>
      <c r="K34" s="14"/>
      <c r="L34" s="13" t="str">
        <f t="shared" si="2"/>
        <v/>
      </c>
      <c r="M34" s="14"/>
      <c r="N34" s="14"/>
      <c r="O34" s="15"/>
      <c r="P34" s="14"/>
      <c r="Q34" s="14"/>
    </row>
    <row r="35" ht="15.75" customHeight="1">
      <c r="A35" s="13" t="str">
        <f t="shared" si="1"/>
        <v/>
      </c>
      <c r="B35" s="14"/>
      <c r="C35" s="14"/>
      <c r="D35" s="15"/>
      <c r="E35" s="15"/>
      <c r="F35" s="14"/>
      <c r="G35" s="15"/>
      <c r="H35" s="14"/>
      <c r="I35" s="14"/>
      <c r="J35" s="14"/>
      <c r="K35" s="14"/>
      <c r="L35" s="13" t="str">
        <f t="shared" si="2"/>
        <v/>
      </c>
      <c r="M35" s="14"/>
      <c r="N35" s="14"/>
      <c r="O35" s="15"/>
      <c r="P35" s="14"/>
      <c r="Q35" s="14"/>
    </row>
    <row r="36" ht="15.75" customHeight="1">
      <c r="A36" s="13" t="str">
        <f t="shared" si="1"/>
        <v/>
      </c>
      <c r="B36" s="14"/>
      <c r="C36" s="14"/>
      <c r="D36" s="15"/>
      <c r="E36" s="15"/>
      <c r="F36" s="14"/>
      <c r="G36" s="15"/>
      <c r="H36" s="14"/>
      <c r="I36" s="14"/>
      <c r="J36" s="14"/>
      <c r="K36" s="14"/>
      <c r="L36" s="13" t="str">
        <f t="shared" si="2"/>
        <v/>
      </c>
      <c r="M36" s="14"/>
      <c r="N36" s="14"/>
      <c r="O36" s="15"/>
      <c r="P36" s="14"/>
      <c r="Q36" s="14"/>
    </row>
    <row r="37" ht="15.75" customHeight="1">
      <c r="A37" s="13" t="str">
        <f t="shared" si="1"/>
        <v/>
      </c>
      <c r="B37" s="14"/>
      <c r="C37" s="14"/>
      <c r="D37" s="15"/>
      <c r="E37" s="15"/>
      <c r="F37" s="14"/>
      <c r="G37" s="15"/>
      <c r="H37" s="14"/>
      <c r="I37" s="14"/>
      <c r="J37" s="14"/>
      <c r="K37" s="14"/>
      <c r="L37" s="13" t="str">
        <f t="shared" si="2"/>
        <v/>
      </c>
      <c r="M37" s="14"/>
      <c r="N37" s="14"/>
      <c r="O37" s="15"/>
      <c r="P37" s="14"/>
      <c r="Q37" s="14"/>
    </row>
    <row r="38" ht="15.75" customHeight="1">
      <c r="A38" s="13" t="str">
        <f t="shared" si="1"/>
        <v/>
      </c>
      <c r="B38" s="14"/>
      <c r="C38" s="14"/>
      <c r="D38" s="15"/>
      <c r="E38" s="15"/>
      <c r="F38" s="14"/>
      <c r="G38" s="15"/>
      <c r="H38" s="14"/>
      <c r="I38" s="14"/>
      <c r="J38" s="14"/>
      <c r="K38" s="14"/>
      <c r="L38" s="13" t="str">
        <f t="shared" si="2"/>
        <v/>
      </c>
      <c r="M38" s="14"/>
      <c r="N38" s="14"/>
      <c r="O38" s="15"/>
      <c r="P38" s="14"/>
      <c r="Q38" s="14"/>
    </row>
    <row r="39" ht="15.75" customHeight="1">
      <c r="A39" s="13" t="str">
        <f t="shared" si="1"/>
        <v/>
      </c>
      <c r="B39" s="14"/>
      <c r="C39" s="14"/>
      <c r="D39" s="15"/>
      <c r="E39" s="15"/>
      <c r="F39" s="14"/>
      <c r="G39" s="15"/>
      <c r="H39" s="14"/>
      <c r="I39" s="14"/>
      <c r="J39" s="14"/>
      <c r="K39" s="14"/>
      <c r="L39" s="13" t="str">
        <f t="shared" si="2"/>
        <v/>
      </c>
      <c r="M39" s="14"/>
      <c r="N39" s="14"/>
      <c r="O39" s="15"/>
      <c r="P39" s="14"/>
      <c r="Q39" s="14"/>
    </row>
    <row r="40" ht="15.75" customHeight="1">
      <c r="A40" s="13" t="str">
        <f t="shared" si="1"/>
        <v/>
      </c>
      <c r="B40" s="14"/>
      <c r="C40" s="14"/>
      <c r="D40" s="15"/>
      <c r="E40" s="15"/>
      <c r="F40" s="14"/>
      <c r="G40" s="15"/>
      <c r="H40" s="14"/>
      <c r="I40" s="14"/>
      <c r="J40" s="14"/>
      <c r="K40" s="14"/>
      <c r="L40" s="13" t="str">
        <f t="shared" si="2"/>
        <v/>
      </c>
      <c r="M40" s="14"/>
      <c r="N40" s="14"/>
      <c r="O40" s="15"/>
      <c r="P40" s="14"/>
      <c r="Q40" s="14"/>
    </row>
    <row r="41" ht="15.75" customHeight="1">
      <c r="A41" s="13" t="str">
        <f t="shared" si="1"/>
        <v/>
      </c>
      <c r="B41" s="14"/>
      <c r="C41" s="14"/>
      <c r="D41" s="15"/>
      <c r="E41" s="15"/>
      <c r="F41" s="14"/>
      <c r="G41" s="15"/>
      <c r="H41" s="14"/>
      <c r="I41" s="14"/>
      <c r="J41" s="14"/>
      <c r="K41" s="14"/>
      <c r="L41" s="13" t="str">
        <f t="shared" si="2"/>
        <v/>
      </c>
      <c r="M41" s="14"/>
      <c r="N41" s="14"/>
      <c r="O41" s="15"/>
      <c r="P41" s="14"/>
      <c r="Q41" s="14"/>
    </row>
    <row r="42" ht="15.75" customHeight="1">
      <c r="A42" s="13" t="str">
        <f t="shared" si="1"/>
        <v/>
      </c>
      <c r="B42" s="14"/>
      <c r="C42" s="14"/>
      <c r="D42" s="15"/>
      <c r="E42" s="15"/>
      <c r="F42" s="14"/>
      <c r="G42" s="15"/>
      <c r="H42" s="14"/>
      <c r="I42" s="14"/>
      <c r="J42" s="14"/>
      <c r="K42" s="14"/>
      <c r="L42" s="13" t="str">
        <f t="shared" si="2"/>
        <v/>
      </c>
      <c r="M42" s="14"/>
      <c r="N42" s="14"/>
      <c r="O42" s="15"/>
      <c r="P42" s="14"/>
      <c r="Q42" s="14"/>
    </row>
    <row r="43" ht="15.75" customHeight="1">
      <c r="A43" s="13" t="str">
        <f t="shared" si="1"/>
        <v/>
      </c>
      <c r="B43" s="14"/>
      <c r="C43" s="14"/>
      <c r="D43" s="15"/>
      <c r="E43" s="15"/>
      <c r="F43" s="14"/>
      <c r="G43" s="15"/>
      <c r="H43" s="14"/>
      <c r="I43" s="14"/>
      <c r="J43" s="14"/>
      <c r="K43" s="14"/>
      <c r="L43" s="13" t="str">
        <f t="shared" si="2"/>
        <v/>
      </c>
      <c r="M43" s="14"/>
      <c r="N43" s="14"/>
      <c r="O43" s="15"/>
      <c r="P43" s="14"/>
      <c r="Q43" s="14"/>
    </row>
    <row r="44" ht="15.75" customHeight="1">
      <c r="A44" s="13" t="str">
        <f t="shared" si="1"/>
        <v/>
      </c>
      <c r="B44" s="14"/>
      <c r="C44" s="14"/>
      <c r="D44" s="15"/>
      <c r="E44" s="15"/>
      <c r="F44" s="14"/>
      <c r="G44" s="15"/>
      <c r="H44" s="14"/>
      <c r="I44" s="14"/>
      <c r="J44" s="14"/>
      <c r="K44" s="14"/>
      <c r="L44" s="13" t="str">
        <f t="shared" si="2"/>
        <v/>
      </c>
      <c r="M44" s="14"/>
      <c r="N44" s="14"/>
      <c r="O44" s="15"/>
      <c r="P44" s="14"/>
      <c r="Q44" s="14"/>
    </row>
    <row r="45" ht="15.75" customHeight="1">
      <c r="A45" s="13" t="str">
        <f t="shared" si="1"/>
        <v/>
      </c>
      <c r="B45" s="14"/>
      <c r="C45" s="14"/>
      <c r="D45" s="15"/>
      <c r="E45" s="15"/>
      <c r="F45" s="14"/>
      <c r="G45" s="15"/>
      <c r="H45" s="14"/>
      <c r="I45" s="14"/>
      <c r="J45" s="14"/>
      <c r="K45" s="14"/>
      <c r="L45" s="13" t="str">
        <f t="shared" si="2"/>
        <v/>
      </c>
      <c r="M45" s="14"/>
      <c r="N45" s="14"/>
      <c r="O45" s="15"/>
      <c r="P45" s="14"/>
      <c r="Q45" s="14"/>
    </row>
    <row r="46" ht="15.75" customHeight="1">
      <c r="A46" s="13" t="str">
        <f t="shared" si="1"/>
        <v/>
      </c>
      <c r="B46" s="14"/>
      <c r="C46" s="14"/>
      <c r="D46" s="15"/>
      <c r="E46" s="15"/>
      <c r="F46" s="14"/>
      <c r="G46" s="15"/>
      <c r="H46" s="14"/>
      <c r="I46" s="14"/>
      <c r="J46" s="14"/>
      <c r="K46" s="14"/>
      <c r="L46" s="13" t="str">
        <f t="shared" si="2"/>
        <v/>
      </c>
      <c r="M46" s="14"/>
      <c r="N46" s="14"/>
      <c r="O46" s="15"/>
      <c r="P46" s="14"/>
      <c r="Q46" s="14"/>
    </row>
    <row r="47" ht="15.75" customHeight="1">
      <c r="A47" s="13" t="str">
        <f t="shared" si="1"/>
        <v/>
      </c>
      <c r="B47" s="14"/>
      <c r="C47" s="14"/>
      <c r="D47" s="15"/>
      <c r="E47" s="15"/>
      <c r="F47" s="14"/>
      <c r="G47" s="15"/>
      <c r="H47" s="14"/>
      <c r="I47" s="14"/>
      <c r="J47" s="14"/>
      <c r="K47" s="14"/>
      <c r="L47" s="13" t="str">
        <f t="shared" si="2"/>
        <v/>
      </c>
      <c r="M47" s="14"/>
      <c r="N47" s="14"/>
      <c r="O47" s="15"/>
      <c r="P47" s="14"/>
      <c r="Q47" s="14"/>
    </row>
    <row r="48" ht="15.75" customHeight="1">
      <c r="A48" s="13" t="str">
        <f t="shared" si="1"/>
        <v/>
      </c>
      <c r="B48" s="14"/>
      <c r="C48" s="14"/>
      <c r="D48" s="15"/>
      <c r="E48" s="15"/>
      <c r="F48" s="14"/>
      <c r="G48" s="15"/>
      <c r="H48" s="14"/>
      <c r="I48" s="14"/>
      <c r="J48" s="14"/>
      <c r="K48" s="14"/>
      <c r="L48" s="13" t="str">
        <f t="shared" si="2"/>
        <v/>
      </c>
      <c r="M48" s="14"/>
      <c r="N48" s="14"/>
      <c r="O48" s="15"/>
      <c r="P48" s="14"/>
      <c r="Q48" s="14"/>
    </row>
    <row r="49" ht="15.75" customHeight="1">
      <c r="A49" s="13" t="str">
        <f t="shared" si="1"/>
        <v/>
      </c>
      <c r="B49" s="14"/>
      <c r="C49" s="14"/>
      <c r="D49" s="15"/>
      <c r="E49" s="15"/>
      <c r="F49" s="14"/>
      <c r="G49" s="15"/>
      <c r="H49" s="14"/>
      <c r="I49" s="14"/>
      <c r="J49" s="14"/>
      <c r="K49" s="14"/>
      <c r="L49" s="13" t="str">
        <f t="shared" si="2"/>
        <v/>
      </c>
      <c r="M49" s="14"/>
      <c r="N49" s="14"/>
      <c r="O49" s="15"/>
      <c r="P49" s="14"/>
      <c r="Q49" s="14"/>
    </row>
    <row r="50" ht="15.75" customHeight="1">
      <c r="A50" s="13" t="str">
        <f t="shared" si="1"/>
        <v/>
      </c>
      <c r="B50" s="14"/>
      <c r="C50" s="14"/>
      <c r="D50" s="15"/>
      <c r="E50" s="15"/>
      <c r="F50" s="14"/>
      <c r="G50" s="15"/>
      <c r="H50" s="14"/>
      <c r="I50" s="14"/>
      <c r="J50" s="14"/>
      <c r="K50" s="14"/>
      <c r="L50" s="13" t="str">
        <f t="shared" si="2"/>
        <v/>
      </c>
      <c r="M50" s="14"/>
      <c r="N50" s="14"/>
      <c r="O50" s="15"/>
      <c r="P50" s="14"/>
      <c r="Q50" s="14"/>
    </row>
    <row r="51" ht="15.75" customHeight="1">
      <c r="A51" s="13" t="str">
        <f t="shared" si="1"/>
        <v/>
      </c>
      <c r="B51" s="14"/>
      <c r="C51" s="14"/>
      <c r="D51" s="15"/>
      <c r="E51" s="15"/>
      <c r="F51" s="14"/>
      <c r="G51" s="15"/>
      <c r="H51" s="14"/>
      <c r="I51" s="14"/>
      <c r="J51" s="14"/>
      <c r="K51" s="14"/>
      <c r="L51" s="13" t="str">
        <f t="shared" si="2"/>
        <v/>
      </c>
      <c r="M51" s="14"/>
      <c r="N51" s="14"/>
      <c r="O51" s="15"/>
      <c r="P51" s="14"/>
      <c r="Q51" s="14"/>
    </row>
    <row r="52" ht="15.75" customHeight="1">
      <c r="A52" s="13" t="str">
        <f t="shared" si="1"/>
        <v/>
      </c>
      <c r="B52" s="14"/>
      <c r="C52" s="14"/>
      <c r="D52" s="15"/>
      <c r="E52" s="15"/>
      <c r="F52" s="14"/>
      <c r="G52" s="15"/>
      <c r="H52" s="14"/>
      <c r="I52" s="14"/>
      <c r="J52" s="14"/>
      <c r="K52" s="14"/>
      <c r="L52" s="13" t="str">
        <f t="shared" si="2"/>
        <v/>
      </c>
      <c r="M52" s="14"/>
      <c r="N52" s="14"/>
      <c r="O52" s="15"/>
      <c r="P52" s="14"/>
      <c r="Q52" s="14"/>
    </row>
    <row r="53" ht="15.75" customHeight="1">
      <c r="A53" s="13" t="str">
        <f t="shared" si="1"/>
        <v/>
      </c>
      <c r="B53" s="14"/>
      <c r="C53" s="14"/>
      <c r="D53" s="15"/>
      <c r="E53" s="15"/>
      <c r="F53" s="14"/>
      <c r="G53" s="15"/>
      <c r="H53" s="14"/>
      <c r="I53" s="14"/>
      <c r="J53" s="14"/>
      <c r="K53" s="14"/>
      <c r="L53" s="13" t="str">
        <f t="shared" si="2"/>
        <v/>
      </c>
      <c r="M53" s="14"/>
      <c r="N53" s="14"/>
      <c r="O53" s="15"/>
      <c r="P53" s="14"/>
      <c r="Q53" s="14"/>
    </row>
    <row r="54" ht="15.75" customHeight="1">
      <c r="A54" s="13" t="str">
        <f t="shared" si="1"/>
        <v/>
      </c>
      <c r="B54" s="14"/>
      <c r="C54" s="14"/>
      <c r="D54" s="15"/>
      <c r="E54" s="15"/>
      <c r="F54" s="14"/>
      <c r="G54" s="15"/>
      <c r="H54" s="14"/>
      <c r="I54" s="14"/>
      <c r="J54" s="14"/>
      <c r="K54" s="14"/>
      <c r="L54" s="13" t="str">
        <f t="shared" si="2"/>
        <v/>
      </c>
      <c r="M54" s="14"/>
      <c r="N54" s="14"/>
      <c r="O54" s="15"/>
      <c r="P54" s="14"/>
      <c r="Q54" s="14"/>
    </row>
    <row r="55" ht="15.75" customHeight="1">
      <c r="A55" s="13" t="str">
        <f t="shared" si="1"/>
        <v/>
      </c>
      <c r="B55" s="14"/>
      <c r="C55" s="14"/>
      <c r="D55" s="15"/>
      <c r="E55" s="15"/>
      <c r="F55" s="14"/>
      <c r="G55" s="15"/>
      <c r="H55" s="14"/>
      <c r="I55" s="14"/>
      <c r="J55" s="14"/>
      <c r="K55" s="14"/>
      <c r="L55" s="13" t="str">
        <f t="shared" si="2"/>
        <v/>
      </c>
      <c r="M55" s="14"/>
      <c r="N55" s="14"/>
      <c r="O55" s="15"/>
      <c r="P55" s="14"/>
      <c r="Q55" s="14"/>
    </row>
    <row r="56" ht="15.75" customHeight="1">
      <c r="A56" s="13" t="str">
        <f t="shared" si="1"/>
        <v/>
      </c>
      <c r="B56" s="14"/>
      <c r="C56" s="14"/>
      <c r="D56" s="15"/>
      <c r="E56" s="15"/>
      <c r="F56" s="14"/>
      <c r="G56" s="15"/>
      <c r="H56" s="14"/>
      <c r="I56" s="14"/>
      <c r="J56" s="14"/>
      <c r="K56" s="14"/>
      <c r="L56" s="13" t="str">
        <f t="shared" si="2"/>
        <v/>
      </c>
      <c r="M56" s="14"/>
      <c r="N56" s="14"/>
      <c r="O56" s="15"/>
      <c r="P56" s="14"/>
      <c r="Q56" s="14"/>
    </row>
    <row r="57" ht="15.75" customHeight="1">
      <c r="A57" s="13" t="str">
        <f t="shared" si="1"/>
        <v/>
      </c>
      <c r="B57" s="14"/>
      <c r="C57" s="14"/>
      <c r="D57" s="15"/>
      <c r="E57" s="15"/>
      <c r="F57" s="14"/>
      <c r="G57" s="15"/>
      <c r="H57" s="14"/>
      <c r="I57" s="14"/>
      <c r="J57" s="14"/>
      <c r="K57" s="14"/>
      <c r="L57" s="13" t="str">
        <f t="shared" si="2"/>
        <v/>
      </c>
      <c r="M57" s="14"/>
      <c r="N57" s="14"/>
      <c r="O57" s="15"/>
      <c r="P57" s="14"/>
      <c r="Q57" s="14"/>
    </row>
    <row r="58" ht="15.75" customHeight="1">
      <c r="A58" s="13" t="str">
        <f t="shared" si="1"/>
        <v/>
      </c>
      <c r="B58" s="14"/>
      <c r="C58" s="14"/>
      <c r="D58" s="15"/>
      <c r="E58" s="15"/>
      <c r="F58" s="14"/>
      <c r="G58" s="15"/>
      <c r="H58" s="14"/>
      <c r="I58" s="14"/>
      <c r="J58" s="14"/>
      <c r="K58" s="14"/>
      <c r="L58" s="13" t="str">
        <f t="shared" si="2"/>
        <v/>
      </c>
      <c r="M58" s="14"/>
      <c r="N58" s="14"/>
      <c r="O58" s="15"/>
      <c r="P58" s="14"/>
      <c r="Q58" s="14"/>
    </row>
    <row r="59" ht="15.75" customHeight="1">
      <c r="A59" s="13" t="str">
        <f t="shared" si="1"/>
        <v/>
      </c>
      <c r="B59" s="14"/>
      <c r="C59" s="14"/>
      <c r="D59" s="15"/>
      <c r="E59" s="15"/>
      <c r="F59" s="14"/>
      <c r="G59" s="15"/>
      <c r="H59" s="14"/>
      <c r="I59" s="14"/>
      <c r="J59" s="14"/>
      <c r="K59" s="14"/>
      <c r="L59" s="13" t="str">
        <f t="shared" si="2"/>
        <v/>
      </c>
      <c r="M59" s="14"/>
      <c r="N59" s="14"/>
      <c r="O59" s="15"/>
      <c r="P59" s="14"/>
      <c r="Q59" s="14"/>
    </row>
    <row r="60" ht="15.75" customHeight="1">
      <c r="A60" s="13" t="str">
        <f t="shared" si="1"/>
        <v/>
      </c>
      <c r="B60" s="14"/>
      <c r="C60" s="14"/>
      <c r="D60" s="15"/>
      <c r="E60" s="15"/>
      <c r="F60" s="14"/>
      <c r="G60" s="15"/>
      <c r="H60" s="14"/>
      <c r="I60" s="14"/>
      <c r="J60" s="14"/>
      <c r="K60" s="14"/>
      <c r="L60" s="13" t="str">
        <f t="shared" si="2"/>
        <v/>
      </c>
      <c r="M60" s="14"/>
      <c r="N60" s="14"/>
      <c r="O60" s="15"/>
      <c r="P60" s="14"/>
      <c r="Q60" s="14"/>
    </row>
    <row r="61" ht="15.75" customHeight="1">
      <c r="A61" s="13" t="str">
        <f t="shared" si="1"/>
        <v/>
      </c>
      <c r="B61" s="14"/>
      <c r="C61" s="14"/>
      <c r="D61" s="15"/>
      <c r="E61" s="15"/>
      <c r="F61" s="14"/>
      <c r="G61" s="15"/>
      <c r="H61" s="14"/>
      <c r="I61" s="14"/>
      <c r="J61" s="14"/>
      <c r="K61" s="14"/>
      <c r="L61" s="13" t="str">
        <f t="shared" si="2"/>
        <v/>
      </c>
      <c r="M61" s="14"/>
      <c r="N61" s="14"/>
      <c r="O61" s="15"/>
      <c r="P61" s="14"/>
      <c r="Q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O2:O61">
      <formula1>People_Roster!$A$2:$A$61</formula1>
    </dataValidation>
    <dataValidation type="list" allowBlank="1" showInputMessage="1" showErrorMessage="1" prompt="Invalid ID - Please choose a valid studio_id from Studio_Master." sqref="E2:E61">
      <formula1>Studio_Master!$A$2:$A$61</formula1>
    </dataValidation>
    <dataValidation type="list" allowBlank="1" showInputMessage="1" showErrorMessage="1" prompt="Invalid ID - Please choose a valid demand_id from Enterprise_Demand." sqref="G2:G61">
      <formula1>Enterprise_Demand!$A$2:$A$61</formula1>
    </dataValidation>
    <dataValidation type="list" allowBlank="1" showInputMessage="1" showErrorMessage="1" prompt="Invalid ID - Please choose a valid theatre_id from Theatre_Master." sqref="D2:D61">
      <formula1>Theatre_Master!$A$2:$A$61</formula1>
    </dataValidation>
    <dataValidation type="list" allowBlank="1" showInputMessage="1" showErrorMessage="1" prompt="Invalid entry - Please choose a value from the dropdown list only." sqref="P2:P61">
      <formula1>Lists!$X$2:$X$5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3" width="22.0"/>
  </cols>
  <sheetData>
    <row r="1" ht="30.0" customHeight="1">
      <c r="A1" s="5" t="s">
        <v>273</v>
      </c>
      <c r="B1" s="5" t="s">
        <v>232</v>
      </c>
      <c r="C1" s="5" t="s">
        <v>235</v>
      </c>
      <c r="D1" s="5" t="s">
        <v>208</v>
      </c>
      <c r="E1" s="5" t="s">
        <v>214</v>
      </c>
      <c r="F1" s="5" t="s">
        <v>274</v>
      </c>
      <c r="G1" s="5" t="s">
        <v>275</v>
      </c>
      <c r="H1" s="5" t="s">
        <v>276</v>
      </c>
      <c r="I1" s="5" t="s">
        <v>277</v>
      </c>
      <c r="J1" s="5" t="s">
        <v>278</v>
      </c>
      <c r="K1" s="5" t="s">
        <v>279</v>
      </c>
      <c r="L1" s="5" t="s">
        <v>280</v>
      </c>
      <c r="M1" s="5" t="s">
        <v>224</v>
      </c>
      <c r="N1" s="5" t="s">
        <v>225</v>
      </c>
      <c r="O1" s="5" t="s">
        <v>281</v>
      </c>
      <c r="P1" s="5" t="s">
        <v>282</v>
      </c>
      <c r="Q1" s="5" t="s">
        <v>283</v>
      </c>
      <c r="R1" s="5" t="s">
        <v>284</v>
      </c>
      <c r="S1" s="5" t="s">
        <v>285</v>
      </c>
      <c r="T1" s="5" t="s">
        <v>286</v>
      </c>
      <c r="U1" s="5" t="s">
        <v>287</v>
      </c>
      <c r="V1" s="5" t="s">
        <v>288</v>
      </c>
      <c r="W1" s="5" t="s">
        <v>289</v>
      </c>
      <c r="X1" s="5" t="s">
        <v>290</v>
      </c>
      <c r="Y1" s="5" t="s">
        <v>291</v>
      </c>
      <c r="Z1" s="5" t="s">
        <v>292</v>
      </c>
      <c r="AA1" s="5" t="s">
        <v>293</v>
      </c>
      <c r="AB1" s="5" t="s">
        <v>294</v>
      </c>
      <c r="AC1" s="5" t="s">
        <v>295</v>
      </c>
      <c r="AD1" s="5" t="s">
        <v>296</v>
      </c>
      <c r="AE1" s="5" t="s">
        <v>297</v>
      </c>
      <c r="AF1" s="5" t="s">
        <v>298</v>
      </c>
      <c r="AG1" s="5" t="s">
        <v>262</v>
      </c>
    </row>
    <row r="2">
      <c r="A2" s="13" t="str">
        <f t="shared" ref="A2:A61" si="1">IF($B2="","","HB-"&amp;TEXT(ROW()-1,"000"))</f>
        <v/>
      </c>
      <c r="B2" s="15"/>
      <c r="C2" s="14"/>
      <c r="D2" s="15"/>
      <c r="E2" s="15"/>
      <c r="F2" s="14"/>
      <c r="G2" s="13" t="str">
        <f t="shared" ref="G2:G61" si="2">IF($B2="","",IF($F2="","",$F2+TIME(1,0,0)))</f>
        <v/>
      </c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5"/>
      <c r="AF2" s="14"/>
      <c r="AG2" s="14"/>
    </row>
    <row r="3">
      <c r="A3" s="13" t="str">
        <f t="shared" si="1"/>
        <v/>
      </c>
      <c r="B3" s="15"/>
      <c r="C3" s="14"/>
      <c r="D3" s="15"/>
      <c r="E3" s="15"/>
      <c r="F3" s="14"/>
      <c r="G3" s="13" t="str">
        <f t="shared" si="2"/>
        <v/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5"/>
      <c r="AF3" s="14"/>
      <c r="AG3" s="14"/>
    </row>
    <row r="4">
      <c r="A4" s="13" t="str">
        <f t="shared" si="1"/>
        <v/>
      </c>
      <c r="B4" s="15"/>
      <c r="C4" s="14"/>
      <c r="D4" s="15"/>
      <c r="E4" s="15"/>
      <c r="F4" s="14"/>
      <c r="G4" s="13" t="str">
        <f t="shared" si="2"/>
        <v/>
      </c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5"/>
      <c r="AF4" s="14"/>
      <c r="AG4" s="14"/>
    </row>
    <row r="5">
      <c r="A5" s="13" t="str">
        <f t="shared" si="1"/>
        <v/>
      </c>
      <c r="B5" s="15"/>
      <c r="C5" s="14"/>
      <c r="D5" s="15"/>
      <c r="E5" s="15"/>
      <c r="F5" s="14"/>
      <c r="G5" s="13" t="str">
        <f t="shared" si="2"/>
        <v/>
      </c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5"/>
      <c r="AF5" s="14"/>
      <c r="AG5" s="14"/>
    </row>
    <row r="6">
      <c r="A6" s="13" t="str">
        <f t="shared" si="1"/>
        <v/>
      </c>
      <c r="B6" s="15"/>
      <c r="C6" s="14"/>
      <c r="D6" s="15"/>
      <c r="E6" s="15"/>
      <c r="F6" s="14"/>
      <c r="G6" s="13" t="str">
        <f t="shared" si="2"/>
        <v/>
      </c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5"/>
      <c r="AF6" s="14"/>
      <c r="AG6" s="14"/>
    </row>
    <row r="7">
      <c r="A7" s="13" t="str">
        <f t="shared" si="1"/>
        <v/>
      </c>
      <c r="B7" s="15"/>
      <c r="C7" s="14"/>
      <c r="D7" s="15"/>
      <c r="E7" s="15"/>
      <c r="F7" s="14"/>
      <c r="G7" s="13" t="str">
        <f t="shared" si="2"/>
        <v/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5"/>
      <c r="AF7" s="14"/>
      <c r="AG7" s="14"/>
    </row>
    <row r="8">
      <c r="A8" s="13" t="str">
        <f t="shared" si="1"/>
        <v/>
      </c>
      <c r="B8" s="15"/>
      <c r="C8" s="14"/>
      <c r="D8" s="15"/>
      <c r="E8" s="15"/>
      <c r="F8" s="14"/>
      <c r="G8" s="13" t="str">
        <f t="shared" si="2"/>
        <v/>
      </c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5"/>
      <c r="AF8" s="14"/>
      <c r="AG8" s="14"/>
    </row>
    <row r="9">
      <c r="A9" s="13" t="str">
        <f t="shared" si="1"/>
        <v/>
      </c>
      <c r="B9" s="15"/>
      <c r="C9" s="14"/>
      <c r="D9" s="15"/>
      <c r="E9" s="15"/>
      <c r="F9" s="14"/>
      <c r="G9" s="13" t="str">
        <f t="shared" si="2"/>
        <v/>
      </c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5"/>
      <c r="AF9" s="14"/>
      <c r="AG9" s="14"/>
    </row>
    <row r="10">
      <c r="A10" s="13" t="str">
        <f t="shared" si="1"/>
        <v/>
      </c>
      <c r="B10" s="15"/>
      <c r="C10" s="14"/>
      <c r="D10" s="15"/>
      <c r="E10" s="15"/>
      <c r="F10" s="14"/>
      <c r="G10" s="13" t="str">
        <f t="shared" si="2"/>
        <v/>
      </c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5"/>
      <c r="AF10" s="14"/>
      <c r="AG10" s="14"/>
    </row>
    <row r="11">
      <c r="A11" s="13" t="str">
        <f t="shared" si="1"/>
        <v/>
      </c>
      <c r="B11" s="15"/>
      <c r="C11" s="14"/>
      <c r="D11" s="15"/>
      <c r="E11" s="15"/>
      <c r="F11" s="14"/>
      <c r="G11" s="13" t="str">
        <f t="shared" si="2"/>
        <v/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5"/>
      <c r="AF11" s="14"/>
      <c r="AG11" s="14"/>
    </row>
    <row r="12">
      <c r="A12" s="13" t="str">
        <f t="shared" si="1"/>
        <v/>
      </c>
      <c r="B12" s="15"/>
      <c r="C12" s="14"/>
      <c r="D12" s="15"/>
      <c r="E12" s="15"/>
      <c r="F12" s="14"/>
      <c r="G12" s="13" t="str">
        <f t="shared" si="2"/>
        <v/>
      </c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5"/>
      <c r="AF12" s="14"/>
      <c r="AG12" s="14"/>
    </row>
    <row r="13">
      <c r="A13" s="13" t="str">
        <f t="shared" si="1"/>
        <v/>
      </c>
      <c r="B13" s="15"/>
      <c r="C13" s="14"/>
      <c r="D13" s="15"/>
      <c r="E13" s="15"/>
      <c r="F13" s="14"/>
      <c r="G13" s="13" t="str">
        <f t="shared" si="2"/>
        <v/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5"/>
      <c r="AF13" s="14"/>
      <c r="AG13" s="14"/>
    </row>
    <row r="14">
      <c r="A14" s="13" t="str">
        <f t="shared" si="1"/>
        <v/>
      </c>
      <c r="B14" s="15"/>
      <c r="C14" s="14"/>
      <c r="D14" s="15"/>
      <c r="E14" s="15"/>
      <c r="F14" s="14"/>
      <c r="G14" s="13" t="str">
        <f t="shared" si="2"/>
        <v/>
      </c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5"/>
      <c r="AF14" s="14"/>
      <c r="AG14" s="14"/>
    </row>
    <row r="15">
      <c r="A15" s="13" t="str">
        <f t="shared" si="1"/>
        <v/>
      </c>
      <c r="B15" s="15"/>
      <c r="C15" s="14"/>
      <c r="D15" s="15"/>
      <c r="E15" s="15"/>
      <c r="F15" s="14"/>
      <c r="G15" s="13" t="str">
        <f t="shared" si="2"/>
        <v/>
      </c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5"/>
      <c r="AF15" s="14"/>
      <c r="AG15" s="14"/>
    </row>
    <row r="16">
      <c r="A16" s="13" t="str">
        <f t="shared" si="1"/>
        <v/>
      </c>
      <c r="B16" s="15"/>
      <c r="C16" s="14"/>
      <c r="D16" s="15"/>
      <c r="E16" s="15"/>
      <c r="F16" s="14"/>
      <c r="G16" s="13" t="str">
        <f t="shared" si="2"/>
        <v/>
      </c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5"/>
      <c r="AF16" s="14"/>
      <c r="AG16" s="14"/>
    </row>
    <row r="17">
      <c r="A17" s="13" t="str">
        <f t="shared" si="1"/>
        <v/>
      </c>
      <c r="B17" s="15"/>
      <c r="C17" s="14"/>
      <c r="D17" s="15"/>
      <c r="E17" s="15"/>
      <c r="F17" s="14"/>
      <c r="G17" s="13" t="str">
        <f t="shared" si="2"/>
        <v/>
      </c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5"/>
      <c r="AF17" s="14"/>
      <c r="AG17" s="14"/>
    </row>
    <row r="18">
      <c r="A18" s="13" t="str">
        <f t="shared" si="1"/>
        <v/>
      </c>
      <c r="B18" s="15"/>
      <c r="C18" s="14"/>
      <c r="D18" s="15"/>
      <c r="E18" s="15"/>
      <c r="F18" s="14"/>
      <c r="G18" s="13" t="str">
        <f t="shared" si="2"/>
        <v/>
      </c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5"/>
      <c r="AF18" s="14"/>
      <c r="AG18" s="14"/>
    </row>
    <row r="19">
      <c r="A19" s="13" t="str">
        <f t="shared" si="1"/>
        <v/>
      </c>
      <c r="B19" s="15"/>
      <c r="C19" s="14"/>
      <c r="D19" s="15"/>
      <c r="E19" s="15"/>
      <c r="F19" s="14"/>
      <c r="G19" s="13" t="str">
        <f t="shared" si="2"/>
        <v/>
      </c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5"/>
      <c r="AF19" s="14"/>
      <c r="AG19" s="14"/>
    </row>
    <row r="20">
      <c r="A20" s="13" t="str">
        <f t="shared" si="1"/>
        <v/>
      </c>
      <c r="B20" s="15"/>
      <c r="C20" s="14"/>
      <c r="D20" s="15"/>
      <c r="E20" s="15"/>
      <c r="F20" s="14"/>
      <c r="G20" s="13" t="str">
        <f t="shared" si="2"/>
        <v/>
      </c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5"/>
      <c r="AF20" s="14"/>
      <c r="AG20" s="14"/>
    </row>
    <row r="21" ht="15.75" customHeight="1">
      <c r="A21" s="13" t="str">
        <f t="shared" si="1"/>
        <v/>
      </c>
      <c r="B21" s="15"/>
      <c r="C21" s="14"/>
      <c r="D21" s="15"/>
      <c r="E21" s="15"/>
      <c r="F21" s="14"/>
      <c r="G21" s="13" t="str">
        <f t="shared" si="2"/>
        <v/>
      </c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5"/>
      <c r="AF21" s="14"/>
      <c r="AG21" s="14"/>
    </row>
    <row r="22" ht="15.75" customHeight="1">
      <c r="A22" s="13" t="str">
        <f t="shared" si="1"/>
        <v/>
      </c>
      <c r="B22" s="15"/>
      <c r="C22" s="14"/>
      <c r="D22" s="15"/>
      <c r="E22" s="15"/>
      <c r="F22" s="14"/>
      <c r="G22" s="13" t="str">
        <f t="shared" si="2"/>
        <v/>
      </c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5"/>
      <c r="AF22" s="14"/>
      <c r="AG22" s="14"/>
    </row>
    <row r="23" ht="15.75" customHeight="1">
      <c r="A23" s="13" t="str">
        <f t="shared" si="1"/>
        <v/>
      </c>
      <c r="B23" s="15"/>
      <c r="C23" s="14"/>
      <c r="D23" s="15"/>
      <c r="E23" s="15"/>
      <c r="F23" s="14"/>
      <c r="G23" s="13" t="str">
        <f t="shared" si="2"/>
        <v/>
      </c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5"/>
      <c r="AF23" s="14"/>
      <c r="AG23" s="14"/>
    </row>
    <row r="24" ht="15.75" customHeight="1">
      <c r="A24" s="13" t="str">
        <f t="shared" si="1"/>
        <v/>
      </c>
      <c r="B24" s="15"/>
      <c r="C24" s="14"/>
      <c r="D24" s="15"/>
      <c r="E24" s="15"/>
      <c r="F24" s="14"/>
      <c r="G24" s="13" t="str">
        <f t="shared" si="2"/>
        <v/>
      </c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5"/>
      <c r="AF24" s="14"/>
      <c r="AG24" s="14"/>
    </row>
    <row r="25" ht="15.75" customHeight="1">
      <c r="A25" s="13" t="str">
        <f t="shared" si="1"/>
        <v/>
      </c>
      <c r="B25" s="15"/>
      <c r="C25" s="14"/>
      <c r="D25" s="15"/>
      <c r="E25" s="15"/>
      <c r="F25" s="14"/>
      <c r="G25" s="13" t="str">
        <f t="shared" si="2"/>
        <v/>
      </c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5"/>
      <c r="AF25" s="14"/>
      <c r="AG25" s="14"/>
    </row>
    <row r="26" ht="15.75" customHeight="1">
      <c r="A26" s="13" t="str">
        <f t="shared" si="1"/>
        <v/>
      </c>
      <c r="B26" s="15"/>
      <c r="C26" s="14"/>
      <c r="D26" s="15"/>
      <c r="E26" s="15"/>
      <c r="F26" s="14"/>
      <c r="G26" s="13" t="str">
        <f t="shared" si="2"/>
        <v/>
      </c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5"/>
      <c r="AF26" s="14"/>
      <c r="AG26" s="14"/>
    </row>
    <row r="27" ht="15.75" customHeight="1">
      <c r="A27" s="13" t="str">
        <f t="shared" si="1"/>
        <v/>
      </c>
      <c r="B27" s="15"/>
      <c r="C27" s="14"/>
      <c r="D27" s="15"/>
      <c r="E27" s="15"/>
      <c r="F27" s="14"/>
      <c r="G27" s="13" t="str">
        <f t="shared" si="2"/>
        <v/>
      </c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5"/>
      <c r="AF27" s="14"/>
      <c r="AG27" s="14"/>
    </row>
    <row r="28" ht="15.75" customHeight="1">
      <c r="A28" s="13" t="str">
        <f t="shared" si="1"/>
        <v/>
      </c>
      <c r="B28" s="15"/>
      <c r="C28" s="14"/>
      <c r="D28" s="15"/>
      <c r="E28" s="15"/>
      <c r="F28" s="14"/>
      <c r="G28" s="13" t="str">
        <f t="shared" si="2"/>
        <v/>
      </c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5"/>
      <c r="AF28" s="14"/>
      <c r="AG28" s="14"/>
    </row>
    <row r="29" ht="15.75" customHeight="1">
      <c r="A29" s="13" t="str">
        <f t="shared" si="1"/>
        <v/>
      </c>
      <c r="B29" s="15"/>
      <c r="C29" s="14"/>
      <c r="D29" s="15"/>
      <c r="E29" s="15"/>
      <c r="F29" s="14"/>
      <c r="G29" s="13" t="str">
        <f t="shared" si="2"/>
        <v/>
      </c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5"/>
      <c r="AF29" s="14"/>
      <c r="AG29" s="14"/>
    </row>
    <row r="30" ht="15.75" customHeight="1">
      <c r="A30" s="13" t="str">
        <f t="shared" si="1"/>
        <v/>
      </c>
      <c r="B30" s="15"/>
      <c r="C30" s="14"/>
      <c r="D30" s="15"/>
      <c r="E30" s="15"/>
      <c r="F30" s="14"/>
      <c r="G30" s="13" t="str">
        <f t="shared" si="2"/>
        <v/>
      </c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5"/>
      <c r="AF30" s="14"/>
      <c r="AG30" s="14"/>
    </row>
    <row r="31" ht="15.75" customHeight="1">
      <c r="A31" s="13" t="str">
        <f t="shared" si="1"/>
        <v/>
      </c>
      <c r="B31" s="15"/>
      <c r="C31" s="14"/>
      <c r="D31" s="15"/>
      <c r="E31" s="15"/>
      <c r="F31" s="14"/>
      <c r="G31" s="13" t="str">
        <f t="shared" si="2"/>
        <v/>
      </c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5"/>
      <c r="AF31" s="14"/>
      <c r="AG31" s="14"/>
    </row>
    <row r="32" ht="15.75" customHeight="1">
      <c r="A32" s="13" t="str">
        <f t="shared" si="1"/>
        <v/>
      </c>
      <c r="B32" s="15"/>
      <c r="C32" s="14"/>
      <c r="D32" s="15"/>
      <c r="E32" s="15"/>
      <c r="F32" s="14"/>
      <c r="G32" s="13" t="str">
        <f t="shared" si="2"/>
        <v/>
      </c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5"/>
      <c r="AF32" s="14"/>
      <c r="AG32" s="14"/>
    </row>
    <row r="33" ht="15.75" customHeight="1">
      <c r="A33" s="13" t="str">
        <f t="shared" si="1"/>
        <v/>
      </c>
      <c r="B33" s="15"/>
      <c r="C33" s="14"/>
      <c r="D33" s="15"/>
      <c r="E33" s="15"/>
      <c r="F33" s="14"/>
      <c r="G33" s="13" t="str">
        <f t="shared" si="2"/>
        <v/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5"/>
      <c r="AF33" s="14"/>
      <c r="AG33" s="14"/>
    </row>
    <row r="34" ht="15.75" customHeight="1">
      <c r="A34" s="13" t="str">
        <f t="shared" si="1"/>
        <v/>
      </c>
      <c r="B34" s="15"/>
      <c r="C34" s="14"/>
      <c r="D34" s="15"/>
      <c r="E34" s="15"/>
      <c r="F34" s="14"/>
      <c r="G34" s="13" t="str">
        <f t="shared" si="2"/>
        <v/>
      </c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5"/>
      <c r="AF34" s="14"/>
      <c r="AG34" s="14"/>
    </row>
    <row r="35" ht="15.75" customHeight="1">
      <c r="A35" s="13" t="str">
        <f t="shared" si="1"/>
        <v/>
      </c>
      <c r="B35" s="15"/>
      <c r="C35" s="14"/>
      <c r="D35" s="15"/>
      <c r="E35" s="15"/>
      <c r="F35" s="14"/>
      <c r="G35" s="13" t="str">
        <f t="shared" si="2"/>
        <v/>
      </c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5"/>
      <c r="AF35" s="14"/>
      <c r="AG35" s="14"/>
    </row>
    <row r="36" ht="15.75" customHeight="1">
      <c r="A36" s="13" t="str">
        <f t="shared" si="1"/>
        <v/>
      </c>
      <c r="B36" s="15"/>
      <c r="C36" s="14"/>
      <c r="D36" s="15"/>
      <c r="E36" s="15"/>
      <c r="F36" s="14"/>
      <c r="G36" s="13" t="str">
        <f t="shared" si="2"/>
        <v/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5"/>
      <c r="AF36" s="14"/>
      <c r="AG36" s="14"/>
    </row>
    <row r="37" ht="15.75" customHeight="1">
      <c r="A37" s="13" t="str">
        <f t="shared" si="1"/>
        <v/>
      </c>
      <c r="B37" s="15"/>
      <c r="C37" s="14"/>
      <c r="D37" s="15"/>
      <c r="E37" s="15"/>
      <c r="F37" s="14"/>
      <c r="G37" s="13" t="str">
        <f t="shared" si="2"/>
        <v/>
      </c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5"/>
      <c r="AF37" s="14"/>
      <c r="AG37" s="14"/>
    </row>
    <row r="38" ht="15.75" customHeight="1">
      <c r="A38" s="13" t="str">
        <f t="shared" si="1"/>
        <v/>
      </c>
      <c r="B38" s="15"/>
      <c r="C38" s="14"/>
      <c r="D38" s="15"/>
      <c r="E38" s="15"/>
      <c r="F38" s="14"/>
      <c r="G38" s="13" t="str">
        <f t="shared" si="2"/>
        <v/>
      </c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5"/>
      <c r="AF38" s="14"/>
      <c r="AG38" s="14"/>
    </row>
    <row r="39" ht="15.75" customHeight="1">
      <c r="A39" s="13" t="str">
        <f t="shared" si="1"/>
        <v/>
      </c>
      <c r="B39" s="15"/>
      <c r="C39" s="14"/>
      <c r="D39" s="15"/>
      <c r="E39" s="15"/>
      <c r="F39" s="14"/>
      <c r="G39" s="13" t="str">
        <f t="shared" si="2"/>
        <v/>
      </c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5"/>
      <c r="AF39" s="14"/>
      <c r="AG39" s="14"/>
    </row>
    <row r="40" ht="15.75" customHeight="1">
      <c r="A40" s="13" t="str">
        <f t="shared" si="1"/>
        <v/>
      </c>
      <c r="B40" s="15"/>
      <c r="C40" s="14"/>
      <c r="D40" s="15"/>
      <c r="E40" s="15"/>
      <c r="F40" s="14"/>
      <c r="G40" s="13" t="str">
        <f t="shared" si="2"/>
        <v/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5"/>
      <c r="AF40" s="14"/>
      <c r="AG40" s="14"/>
    </row>
    <row r="41" ht="15.75" customHeight="1">
      <c r="A41" s="13" t="str">
        <f t="shared" si="1"/>
        <v/>
      </c>
      <c r="B41" s="15"/>
      <c r="C41" s="14"/>
      <c r="D41" s="15"/>
      <c r="E41" s="15"/>
      <c r="F41" s="14"/>
      <c r="G41" s="13" t="str">
        <f t="shared" si="2"/>
        <v/>
      </c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5"/>
      <c r="AF41" s="14"/>
      <c r="AG41" s="14"/>
    </row>
    <row r="42" ht="15.75" customHeight="1">
      <c r="A42" s="13" t="str">
        <f t="shared" si="1"/>
        <v/>
      </c>
      <c r="B42" s="15"/>
      <c r="C42" s="14"/>
      <c r="D42" s="15"/>
      <c r="E42" s="15"/>
      <c r="F42" s="14"/>
      <c r="G42" s="13" t="str">
        <f t="shared" si="2"/>
        <v/>
      </c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5"/>
      <c r="AF42" s="14"/>
      <c r="AG42" s="14"/>
    </row>
    <row r="43" ht="15.75" customHeight="1">
      <c r="A43" s="13" t="str">
        <f t="shared" si="1"/>
        <v/>
      </c>
      <c r="B43" s="15"/>
      <c r="C43" s="14"/>
      <c r="D43" s="15"/>
      <c r="E43" s="15"/>
      <c r="F43" s="14"/>
      <c r="G43" s="13" t="str">
        <f t="shared" si="2"/>
        <v/>
      </c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5"/>
      <c r="AF43" s="14"/>
      <c r="AG43" s="14"/>
    </row>
    <row r="44" ht="15.75" customHeight="1">
      <c r="A44" s="13" t="str">
        <f t="shared" si="1"/>
        <v/>
      </c>
      <c r="B44" s="15"/>
      <c r="C44" s="14"/>
      <c r="D44" s="15"/>
      <c r="E44" s="15"/>
      <c r="F44" s="14"/>
      <c r="G44" s="13" t="str">
        <f t="shared" si="2"/>
        <v/>
      </c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5"/>
      <c r="AF44" s="14"/>
      <c r="AG44" s="14"/>
    </row>
    <row r="45" ht="15.75" customHeight="1">
      <c r="A45" s="13" t="str">
        <f t="shared" si="1"/>
        <v/>
      </c>
      <c r="B45" s="15"/>
      <c r="C45" s="14"/>
      <c r="D45" s="15"/>
      <c r="E45" s="15"/>
      <c r="F45" s="14"/>
      <c r="G45" s="13" t="str">
        <f t="shared" si="2"/>
        <v/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5"/>
      <c r="AF45" s="14"/>
      <c r="AG45" s="14"/>
    </row>
    <row r="46" ht="15.75" customHeight="1">
      <c r="A46" s="13" t="str">
        <f t="shared" si="1"/>
        <v/>
      </c>
      <c r="B46" s="15"/>
      <c r="C46" s="14"/>
      <c r="D46" s="15"/>
      <c r="E46" s="15"/>
      <c r="F46" s="14"/>
      <c r="G46" s="13" t="str">
        <f t="shared" si="2"/>
        <v/>
      </c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5"/>
      <c r="AF46" s="14"/>
      <c r="AG46" s="14"/>
    </row>
    <row r="47" ht="15.75" customHeight="1">
      <c r="A47" s="13" t="str">
        <f t="shared" si="1"/>
        <v/>
      </c>
      <c r="B47" s="15"/>
      <c r="C47" s="14"/>
      <c r="D47" s="15"/>
      <c r="E47" s="15"/>
      <c r="F47" s="14"/>
      <c r="G47" s="13" t="str">
        <f t="shared" si="2"/>
        <v/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5"/>
      <c r="AF47" s="14"/>
      <c r="AG47" s="14"/>
    </row>
    <row r="48" ht="15.75" customHeight="1">
      <c r="A48" s="13" t="str">
        <f t="shared" si="1"/>
        <v/>
      </c>
      <c r="B48" s="15"/>
      <c r="C48" s="14"/>
      <c r="D48" s="15"/>
      <c r="E48" s="15"/>
      <c r="F48" s="14"/>
      <c r="G48" s="13" t="str">
        <f t="shared" si="2"/>
        <v/>
      </c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5"/>
      <c r="AF48" s="14"/>
      <c r="AG48" s="14"/>
    </row>
    <row r="49" ht="15.75" customHeight="1">
      <c r="A49" s="13" t="str">
        <f t="shared" si="1"/>
        <v/>
      </c>
      <c r="B49" s="15"/>
      <c r="C49" s="14"/>
      <c r="D49" s="15"/>
      <c r="E49" s="15"/>
      <c r="F49" s="14"/>
      <c r="G49" s="13" t="str">
        <f t="shared" si="2"/>
        <v/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5"/>
      <c r="AF49" s="14"/>
      <c r="AG49" s="14"/>
    </row>
    <row r="50" ht="15.75" customHeight="1">
      <c r="A50" s="13" t="str">
        <f t="shared" si="1"/>
        <v/>
      </c>
      <c r="B50" s="15"/>
      <c r="C50" s="14"/>
      <c r="D50" s="15"/>
      <c r="E50" s="15"/>
      <c r="F50" s="14"/>
      <c r="G50" s="13" t="str">
        <f t="shared" si="2"/>
        <v/>
      </c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5"/>
      <c r="AF50" s="14"/>
      <c r="AG50" s="14"/>
    </row>
    <row r="51" ht="15.75" customHeight="1">
      <c r="A51" s="13" t="str">
        <f t="shared" si="1"/>
        <v/>
      </c>
      <c r="B51" s="15"/>
      <c r="C51" s="14"/>
      <c r="D51" s="15"/>
      <c r="E51" s="15"/>
      <c r="F51" s="14"/>
      <c r="G51" s="13" t="str">
        <f t="shared" si="2"/>
        <v/>
      </c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5"/>
      <c r="AF51" s="14"/>
      <c r="AG51" s="14"/>
    </row>
    <row r="52" ht="15.75" customHeight="1">
      <c r="A52" s="13" t="str">
        <f t="shared" si="1"/>
        <v/>
      </c>
      <c r="B52" s="15"/>
      <c r="C52" s="14"/>
      <c r="D52" s="15"/>
      <c r="E52" s="15"/>
      <c r="F52" s="14"/>
      <c r="G52" s="13" t="str">
        <f t="shared" si="2"/>
        <v/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5"/>
      <c r="AF52" s="14"/>
      <c r="AG52" s="14"/>
    </row>
    <row r="53" ht="15.75" customHeight="1">
      <c r="A53" s="13" t="str">
        <f t="shared" si="1"/>
        <v/>
      </c>
      <c r="B53" s="15"/>
      <c r="C53" s="14"/>
      <c r="D53" s="15"/>
      <c r="E53" s="15"/>
      <c r="F53" s="14"/>
      <c r="G53" s="13" t="str">
        <f t="shared" si="2"/>
        <v/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5"/>
      <c r="AF53" s="14"/>
      <c r="AG53" s="14"/>
    </row>
    <row r="54" ht="15.75" customHeight="1">
      <c r="A54" s="13" t="str">
        <f t="shared" si="1"/>
        <v/>
      </c>
      <c r="B54" s="15"/>
      <c r="C54" s="14"/>
      <c r="D54" s="15"/>
      <c r="E54" s="15"/>
      <c r="F54" s="14"/>
      <c r="G54" s="13" t="str">
        <f t="shared" si="2"/>
        <v/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5"/>
      <c r="AF54" s="14"/>
      <c r="AG54" s="14"/>
    </row>
    <row r="55" ht="15.75" customHeight="1">
      <c r="A55" s="13" t="str">
        <f t="shared" si="1"/>
        <v/>
      </c>
      <c r="B55" s="15"/>
      <c r="C55" s="14"/>
      <c r="D55" s="15"/>
      <c r="E55" s="15"/>
      <c r="F55" s="14"/>
      <c r="G55" s="13" t="str">
        <f t="shared" si="2"/>
        <v/>
      </c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5"/>
      <c r="AF55" s="14"/>
      <c r="AG55" s="14"/>
    </row>
    <row r="56" ht="15.75" customHeight="1">
      <c r="A56" s="13" t="str">
        <f t="shared" si="1"/>
        <v/>
      </c>
      <c r="B56" s="15"/>
      <c r="C56" s="14"/>
      <c r="D56" s="15"/>
      <c r="E56" s="15"/>
      <c r="F56" s="14"/>
      <c r="G56" s="13" t="str">
        <f t="shared" si="2"/>
        <v/>
      </c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5"/>
      <c r="AF56" s="14"/>
      <c r="AG56" s="14"/>
    </row>
    <row r="57" ht="15.75" customHeight="1">
      <c r="A57" s="13" t="str">
        <f t="shared" si="1"/>
        <v/>
      </c>
      <c r="B57" s="15"/>
      <c r="C57" s="14"/>
      <c r="D57" s="15"/>
      <c r="E57" s="15"/>
      <c r="F57" s="14"/>
      <c r="G57" s="13" t="str">
        <f t="shared" si="2"/>
        <v/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5"/>
      <c r="AF57" s="14"/>
      <c r="AG57" s="14"/>
    </row>
    <row r="58" ht="15.75" customHeight="1">
      <c r="A58" s="13" t="str">
        <f t="shared" si="1"/>
        <v/>
      </c>
      <c r="B58" s="15"/>
      <c r="C58" s="14"/>
      <c r="D58" s="15"/>
      <c r="E58" s="15"/>
      <c r="F58" s="14"/>
      <c r="G58" s="13" t="str">
        <f t="shared" si="2"/>
        <v/>
      </c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5"/>
      <c r="AF58" s="14"/>
      <c r="AG58" s="14"/>
    </row>
    <row r="59" ht="15.75" customHeight="1">
      <c r="A59" s="13" t="str">
        <f t="shared" si="1"/>
        <v/>
      </c>
      <c r="B59" s="15"/>
      <c r="C59" s="14"/>
      <c r="D59" s="15"/>
      <c r="E59" s="15"/>
      <c r="F59" s="14"/>
      <c r="G59" s="13" t="str">
        <f t="shared" si="2"/>
        <v/>
      </c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5"/>
      <c r="AF59" s="14"/>
      <c r="AG59" s="14"/>
    </row>
    <row r="60" ht="15.75" customHeight="1">
      <c r="A60" s="13" t="str">
        <f t="shared" si="1"/>
        <v/>
      </c>
      <c r="B60" s="15"/>
      <c r="C60" s="14"/>
      <c r="D60" s="15"/>
      <c r="E60" s="15"/>
      <c r="F60" s="14"/>
      <c r="G60" s="13" t="str">
        <f t="shared" si="2"/>
        <v/>
      </c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5"/>
      <c r="AF60" s="14"/>
      <c r="AG60" s="14"/>
    </row>
    <row r="61" ht="15.75" customHeight="1">
      <c r="A61" s="13" t="str">
        <f t="shared" si="1"/>
        <v/>
      </c>
      <c r="B61" s="15"/>
      <c r="C61" s="14"/>
      <c r="D61" s="15"/>
      <c r="E61" s="15"/>
      <c r="F61" s="14"/>
      <c r="G61" s="13" t="str">
        <f t="shared" si="2"/>
        <v/>
      </c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5"/>
      <c r="AF61" s="14"/>
      <c r="AG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B2:B61 AE2:AE61">
      <formula1>People_Roster!$A$2:$A$61</formula1>
    </dataValidation>
    <dataValidation type="list" allowBlank="1" showInputMessage="1" showErrorMessage="1" prompt="Invalid ID - Please choose a valid studio_id from Studio_Master." sqref="E2:E61">
      <formula1>Studio_Master!$A$2:$A$61</formula1>
    </dataValidation>
    <dataValidation type="list" allowBlank="1" showInputMessage="1" showErrorMessage="1" prompt="Invalid entry - Please choose a value from the dropdown list only." sqref="J2:J61">
      <formula1>Lists!$B$2:$B$3</formula1>
    </dataValidation>
    <dataValidation type="list" allowBlank="1" showInputMessage="1" showErrorMessage="1" prompt="Invalid entry - Please choose a value from the dropdown list only." sqref="C2:C61">
      <formula1>Lists!$G$2:$G$11</formula1>
    </dataValidation>
    <dataValidation type="list" allowBlank="1" showInputMessage="1" showErrorMessage="1" prompt="Invalid entry - Please choose a value from the dropdown list only." sqref="I2:I61">
      <formula1>Lists!$O$2:$O$3</formula1>
    </dataValidation>
    <dataValidation type="list" allowBlank="1" showInputMessage="1" showErrorMessage="1" prompt="Invalid ID - Please choose a valid theatre_id from Theatre_Master." sqref="D2:D61">
      <formula1>Theatre_Master!$A$2:$A$61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0" width="22.0"/>
  </cols>
  <sheetData>
    <row r="1" ht="30.0" customHeight="1">
      <c r="A1" s="5" t="s">
        <v>299</v>
      </c>
      <c r="B1" s="5" t="s">
        <v>300</v>
      </c>
      <c r="C1" s="5" t="s">
        <v>301</v>
      </c>
      <c r="D1" s="5" t="s">
        <v>302</v>
      </c>
      <c r="E1" s="5" t="s">
        <v>208</v>
      </c>
      <c r="F1" s="5" t="s">
        <v>214</v>
      </c>
      <c r="G1" s="5" t="s">
        <v>244</v>
      </c>
      <c r="H1" s="5" t="s">
        <v>243</v>
      </c>
      <c r="I1" s="5" t="s">
        <v>303</v>
      </c>
      <c r="J1" s="5" t="s">
        <v>304</v>
      </c>
      <c r="K1" s="5" t="s">
        <v>305</v>
      </c>
      <c r="L1" s="5" t="s">
        <v>306</v>
      </c>
      <c r="M1" s="5" t="s">
        <v>307</v>
      </c>
      <c r="N1" s="5" t="s">
        <v>308</v>
      </c>
      <c r="O1" s="5" t="s">
        <v>257</v>
      </c>
      <c r="P1" s="5" t="s">
        <v>309</v>
      </c>
      <c r="Q1" s="5" t="s">
        <v>310</v>
      </c>
      <c r="R1" s="5" t="s">
        <v>311</v>
      </c>
      <c r="S1" s="5" t="s">
        <v>312</v>
      </c>
      <c r="T1" s="5" t="s">
        <v>313</v>
      </c>
      <c r="U1" s="5" t="s">
        <v>260</v>
      </c>
      <c r="V1" s="5" t="s">
        <v>314</v>
      </c>
      <c r="W1" s="5" t="s">
        <v>315</v>
      </c>
      <c r="X1" s="5" t="s">
        <v>316</v>
      </c>
      <c r="Y1" s="5" t="s">
        <v>317</v>
      </c>
      <c r="Z1" s="5" t="s">
        <v>318</v>
      </c>
      <c r="AA1" s="5" t="s">
        <v>319</v>
      </c>
      <c r="AB1" s="5" t="s">
        <v>320</v>
      </c>
      <c r="AC1" s="5" t="s">
        <v>262</v>
      </c>
      <c r="AD1" s="5" t="s">
        <v>156</v>
      </c>
    </row>
    <row r="2">
      <c r="A2" s="13" t="str">
        <f t="shared" ref="A2:A61" si="1">IF($B2="","","INC-"&amp;TEXT(ROW()-1,"000"))</f>
        <v/>
      </c>
      <c r="B2" s="14"/>
      <c r="C2" s="14"/>
      <c r="D2" s="14"/>
      <c r="E2" s="15"/>
      <c r="F2" s="15"/>
      <c r="G2" s="14"/>
      <c r="H2" s="15"/>
      <c r="I2" s="14"/>
      <c r="J2" s="14"/>
      <c r="K2" s="14"/>
      <c r="L2" s="14"/>
      <c r="M2" s="14"/>
      <c r="N2" s="14"/>
      <c r="O2" s="15"/>
      <c r="P2" s="14"/>
      <c r="Q2" s="14"/>
      <c r="R2" s="14"/>
      <c r="S2" s="14"/>
      <c r="T2" s="13" t="str">
        <f t="shared" ref="T2:T61" si="2">IF($B2="","",IF($D2="","",TEXT($D2,"YYYYMMDDHH")&amp;"-"&amp;$B2&amp;"-"&amp;$C2&amp;"-"&amp;$E2&amp;"-"&amp;$F2))</f>
        <v/>
      </c>
      <c r="U2" s="13" t="str">
        <f t="shared" ref="U2:U61" si="3">IF($B2="","",IF($D2="","",ROUND((NOW()-$D2)*24,1)))</f>
        <v/>
      </c>
      <c r="V2" s="13" t="str">
        <f t="shared" ref="V2:V61" si="4">IF($B2="","",IF($P2="","No due date",IF(NOW()&gt;$P2,"Overdue","On track")))</f>
        <v/>
      </c>
      <c r="W2" s="14"/>
      <c r="X2" s="14"/>
      <c r="Y2" s="14"/>
      <c r="Z2" s="15"/>
      <c r="AA2" s="14"/>
      <c r="AB2" s="14"/>
      <c r="AC2" s="14"/>
      <c r="AD2" s="14"/>
    </row>
    <row r="3">
      <c r="A3" s="13" t="str">
        <f t="shared" si="1"/>
        <v/>
      </c>
      <c r="B3" s="14"/>
      <c r="C3" s="14"/>
      <c r="D3" s="14"/>
      <c r="E3" s="15"/>
      <c r="F3" s="15"/>
      <c r="G3" s="14"/>
      <c r="H3" s="15"/>
      <c r="I3" s="14"/>
      <c r="J3" s="14"/>
      <c r="K3" s="14"/>
      <c r="L3" s="14"/>
      <c r="M3" s="14"/>
      <c r="N3" s="14"/>
      <c r="O3" s="15"/>
      <c r="P3" s="14"/>
      <c r="Q3" s="14"/>
      <c r="R3" s="14"/>
      <c r="S3" s="14"/>
      <c r="T3" s="13" t="str">
        <f t="shared" si="2"/>
        <v/>
      </c>
      <c r="U3" s="13" t="str">
        <f t="shared" si="3"/>
        <v/>
      </c>
      <c r="V3" s="13" t="str">
        <f t="shared" si="4"/>
        <v/>
      </c>
      <c r="W3" s="14"/>
      <c r="X3" s="14"/>
      <c r="Y3" s="14"/>
      <c r="Z3" s="15"/>
      <c r="AA3" s="14"/>
      <c r="AB3" s="14"/>
      <c r="AC3" s="14"/>
      <c r="AD3" s="14"/>
    </row>
    <row r="4">
      <c r="A4" s="13" t="str">
        <f t="shared" si="1"/>
        <v/>
      </c>
      <c r="B4" s="14"/>
      <c r="C4" s="14"/>
      <c r="D4" s="14"/>
      <c r="E4" s="15"/>
      <c r="F4" s="15"/>
      <c r="G4" s="14"/>
      <c r="H4" s="15"/>
      <c r="I4" s="14"/>
      <c r="J4" s="14"/>
      <c r="K4" s="14"/>
      <c r="L4" s="14"/>
      <c r="M4" s="14"/>
      <c r="N4" s="14"/>
      <c r="O4" s="15"/>
      <c r="P4" s="14"/>
      <c r="Q4" s="14"/>
      <c r="R4" s="14"/>
      <c r="S4" s="14"/>
      <c r="T4" s="13" t="str">
        <f t="shared" si="2"/>
        <v/>
      </c>
      <c r="U4" s="13" t="str">
        <f t="shared" si="3"/>
        <v/>
      </c>
      <c r="V4" s="13" t="str">
        <f t="shared" si="4"/>
        <v/>
      </c>
      <c r="W4" s="14"/>
      <c r="X4" s="14"/>
      <c r="Y4" s="14"/>
      <c r="Z4" s="15"/>
      <c r="AA4" s="14"/>
      <c r="AB4" s="14"/>
      <c r="AC4" s="14"/>
      <c r="AD4" s="14"/>
    </row>
    <row r="5">
      <c r="A5" s="13" t="str">
        <f t="shared" si="1"/>
        <v/>
      </c>
      <c r="B5" s="14"/>
      <c r="C5" s="14"/>
      <c r="D5" s="14"/>
      <c r="E5" s="15"/>
      <c r="F5" s="15"/>
      <c r="G5" s="14"/>
      <c r="H5" s="15"/>
      <c r="I5" s="14"/>
      <c r="J5" s="14"/>
      <c r="K5" s="14"/>
      <c r="L5" s="14"/>
      <c r="M5" s="14"/>
      <c r="N5" s="14"/>
      <c r="O5" s="15"/>
      <c r="P5" s="14"/>
      <c r="Q5" s="14"/>
      <c r="R5" s="14"/>
      <c r="S5" s="14"/>
      <c r="T5" s="13" t="str">
        <f t="shared" si="2"/>
        <v/>
      </c>
      <c r="U5" s="13" t="str">
        <f t="shared" si="3"/>
        <v/>
      </c>
      <c r="V5" s="13" t="str">
        <f t="shared" si="4"/>
        <v/>
      </c>
      <c r="W5" s="14"/>
      <c r="X5" s="14"/>
      <c r="Y5" s="14"/>
      <c r="Z5" s="15"/>
      <c r="AA5" s="14"/>
      <c r="AB5" s="14"/>
      <c r="AC5" s="14"/>
      <c r="AD5" s="14"/>
    </row>
    <row r="6">
      <c r="A6" s="13" t="str">
        <f t="shared" si="1"/>
        <v/>
      </c>
      <c r="B6" s="14"/>
      <c r="C6" s="14"/>
      <c r="D6" s="14"/>
      <c r="E6" s="15"/>
      <c r="F6" s="15"/>
      <c r="G6" s="14"/>
      <c r="H6" s="15"/>
      <c r="I6" s="14"/>
      <c r="J6" s="14"/>
      <c r="K6" s="14"/>
      <c r="L6" s="14"/>
      <c r="M6" s="14"/>
      <c r="N6" s="14"/>
      <c r="O6" s="15"/>
      <c r="P6" s="14"/>
      <c r="Q6" s="14"/>
      <c r="R6" s="14"/>
      <c r="S6" s="14"/>
      <c r="T6" s="13" t="str">
        <f t="shared" si="2"/>
        <v/>
      </c>
      <c r="U6" s="13" t="str">
        <f t="shared" si="3"/>
        <v/>
      </c>
      <c r="V6" s="13" t="str">
        <f t="shared" si="4"/>
        <v/>
      </c>
      <c r="W6" s="14"/>
      <c r="X6" s="14"/>
      <c r="Y6" s="14"/>
      <c r="Z6" s="15"/>
      <c r="AA6" s="14"/>
      <c r="AB6" s="14"/>
      <c r="AC6" s="14"/>
      <c r="AD6" s="14"/>
    </row>
    <row r="7">
      <c r="A7" s="13" t="str">
        <f t="shared" si="1"/>
        <v/>
      </c>
      <c r="B7" s="14"/>
      <c r="C7" s="14"/>
      <c r="D7" s="14"/>
      <c r="E7" s="15"/>
      <c r="F7" s="15"/>
      <c r="G7" s="14"/>
      <c r="H7" s="15"/>
      <c r="I7" s="14"/>
      <c r="J7" s="14"/>
      <c r="K7" s="14"/>
      <c r="L7" s="14"/>
      <c r="M7" s="14"/>
      <c r="N7" s="14"/>
      <c r="O7" s="15"/>
      <c r="P7" s="14"/>
      <c r="Q7" s="14"/>
      <c r="R7" s="14"/>
      <c r="S7" s="14"/>
      <c r="T7" s="13" t="str">
        <f t="shared" si="2"/>
        <v/>
      </c>
      <c r="U7" s="13" t="str">
        <f t="shared" si="3"/>
        <v/>
      </c>
      <c r="V7" s="13" t="str">
        <f t="shared" si="4"/>
        <v/>
      </c>
      <c r="W7" s="14"/>
      <c r="X7" s="14"/>
      <c r="Y7" s="14"/>
      <c r="Z7" s="15"/>
      <c r="AA7" s="14"/>
      <c r="AB7" s="14"/>
      <c r="AC7" s="14"/>
      <c r="AD7" s="14"/>
    </row>
    <row r="8">
      <c r="A8" s="13" t="str">
        <f t="shared" si="1"/>
        <v/>
      </c>
      <c r="B8" s="14"/>
      <c r="C8" s="14"/>
      <c r="D8" s="14"/>
      <c r="E8" s="15"/>
      <c r="F8" s="15"/>
      <c r="G8" s="14"/>
      <c r="H8" s="15"/>
      <c r="I8" s="14"/>
      <c r="J8" s="14"/>
      <c r="K8" s="14"/>
      <c r="L8" s="14"/>
      <c r="M8" s="14"/>
      <c r="N8" s="14"/>
      <c r="O8" s="15"/>
      <c r="P8" s="14"/>
      <c r="Q8" s="14"/>
      <c r="R8" s="14"/>
      <c r="S8" s="14"/>
      <c r="T8" s="13" t="str">
        <f t="shared" si="2"/>
        <v/>
      </c>
      <c r="U8" s="13" t="str">
        <f t="shared" si="3"/>
        <v/>
      </c>
      <c r="V8" s="13" t="str">
        <f t="shared" si="4"/>
        <v/>
      </c>
      <c r="W8" s="14"/>
      <c r="X8" s="14"/>
      <c r="Y8" s="14"/>
      <c r="Z8" s="15"/>
      <c r="AA8" s="14"/>
      <c r="AB8" s="14"/>
      <c r="AC8" s="14"/>
      <c r="AD8" s="14"/>
    </row>
    <row r="9">
      <c r="A9" s="13" t="str">
        <f t="shared" si="1"/>
        <v/>
      </c>
      <c r="B9" s="14"/>
      <c r="C9" s="14"/>
      <c r="D9" s="14"/>
      <c r="E9" s="15"/>
      <c r="F9" s="15"/>
      <c r="G9" s="14"/>
      <c r="H9" s="15"/>
      <c r="I9" s="14"/>
      <c r="J9" s="14"/>
      <c r="K9" s="14"/>
      <c r="L9" s="14"/>
      <c r="M9" s="14"/>
      <c r="N9" s="14"/>
      <c r="O9" s="15"/>
      <c r="P9" s="14"/>
      <c r="Q9" s="14"/>
      <c r="R9" s="14"/>
      <c r="S9" s="14"/>
      <c r="T9" s="13" t="str">
        <f t="shared" si="2"/>
        <v/>
      </c>
      <c r="U9" s="13" t="str">
        <f t="shared" si="3"/>
        <v/>
      </c>
      <c r="V9" s="13" t="str">
        <f t="shared" si="4"/>
        <v/>
      </c>
      <c r="W9" s="14"/>
      <c r="X9" s="14"/>
      <c r="Y9" s="14"/>
      <c r="Z9" s="15"/>
      <c r="AA9" s="14"/>
      <c r="AB9" s="14"/>
      <c r="AC9" s="14"/>
      <c r="AD9" s="14"/>
    </row>
    <row r="10">
      <c r="A10" s="13" t="str">
        <f t="shared" si="1"/>
        <v/>
      </c>
      <c r="B10" s="14"/>
      <c r="C10" s="14"/>
      <c r="D10" s="14"/>
      <c r="E10" s="15"/>
      <c r="F10" s="15"/>
      <c r="G10" s="14"/>
      <c r="H10" s="15"/>
      <c r="I10" s="14"/>
      <c r="J10" s="14"/>
      <c r="K10" s="14"/>
      <c r="L10" s="14"/>
      <c r="M10" s="14"/>
      <c r="N10" s="14"/>
      <c r="O10" s="15"/>
      <c r="P10" s="14"/>
      <c r="Q10" s="14"/>
      <c r="R10" s="14"/>
      <c r="S10" s="14"/>
      <c r="T10" s="13" t="str">
        <f t="shared" si="2"/>
        <v/>
      </c>
      <c r="U10" s="13" t="str">
        <f t="shared" si="3"/>
        <v/>
      </c>
      <c r="V10" s="13" t="str">
        <f t="shared" si="4"/>
        <v/>
      </c>
      <c r="W10" s="14"/>
      <c r="X10" s="14"/>
      <c r="Y10" s="14"/>
      <c r="Z10" s="15"/>
      <c r="AA10" s="14"/>
      <c r="AB10" s="14"/>
      <c r="AC10" s="14"/>
      <c r="AD10" s="14"/>
    </row>
    <row r="11">
      <c r="A11" s="13" t="str">
        <f t="shared" si="1"/>
        <v/>
      </c>
      <c r="B11" s="14"/>
      <c r="C11" s="14"/>
      <c r="D11" s="14"/>
      <c r="E11" s="15"/>
      <c r="F11" s="15"/>
      <c r="G11" s="14"/>
      <c r="H11" s="15"/>
      <c r="I11" s="14"/>
      <c r="J11" s="14"/>
      <c r="K11" s="14"/>
      <c r="L11" s="14"/>
      <c r="M11" s="14"/>
      <c r="N11" s="14"/>
      <c r="O11" s="15"/>
      <c r="P11" s="14"/>
      <c r="Q11" s="14"/>
      <c r="R11" s="14"/>
      <c r="S11" s="14"/>
      <c r="T11" s="13" t="str">
        <f t="shared" si="2"/>
        <v/>
      </c>
      <c r="U11" s="13" t="str">
        <f t="shared" si="3"/>
        <v/>
      </c>
      <c r="V11" s="13" t="str">
        <f t="shared" si="4"/>
        <v/>
      </c>
      <c r="W11" s="14"/>
      <c r="X11" s="14"/>
      <c r="Y11" s="14"/>
      <c r="Z11" s="15"/>
      <c r="AA11" s="14"/>
      <c r="AB11" s="14"/>
      <c r="AC11" s="14"/>
      <c r="AD11" s="14"/>
    </row>
    <row r="12">
      <c r="A12" s="13" t="str">
        <f t="shared" si="1"/>
        <v/>
      </c>
      <c r="B12" s="14"/>
      <c r="C12" s="14"/>
      <c r="D12" s="14"/>
      <c r="E12" s="15"/>
      <c r="F12" s="15"/>
      <c r="G12" s="14"/>
      <c r="H12" s="15"/>
      <c r="I12" s="14"/>
      <c r="J12" s="14"/>
      <c r="K12" s="14"/>
      <c r="L12" s="14"/>
      <c r="M12" s="14"/>
      <c r="N12" s="14"/>
      <c r="O12" s="15"/>
      <c r="P12" s="14"/>
      <c r="Q12" s="14"/>
      <c r="R12" s="14"/>
      <c r="S12" s="14"/>
      <c r="T12" s="13" t="str">
        <f t="shared" si="2"/>
        <v/>
      </c>
      <c r="U12" s="13" t="str">
        <f t="shared" si="3"/>
        <v/>
      </c>
      <c r="V12" s="13" t="str">
        <f t="shared" si="4"/>
        <v/>
      </c>
      <c r="W12" s="14"/>
      <c r="X12" s="14"/>
      <c r="Y12" s="14"/>
      <c r="Z12" s="15"/>
      <c r="AA12" s="14"/>
      <c r="AB12" s="14"/>
      <c r="AC12" s="14"/>
      <c r="AD12" s="14"/>
    </row>
    <row r="13">
      <c r="A13" s="13" t="str">
        <f t="shared" si="1"/>
        <v/>
      </c>
      <c r="B13" s="14"/>
      <c r="C13" s="14"/>
      <c r="D13" s="14"/>
      <c r="E13" s="15"/>
      <c r="F13" s="15"/>
      <c r="G13" s="14"/>
      <c r="H13" s="15"/>
      <c r="I13" s="14"/>
      <c r="J13" s="14"/>
      <c r="K13" s="14"/>
      <c r="L13" s="14"/>
      <c r="M13" s="14"/>
      <c r="N13" s="14"/>
      <c r="O13" s="15"/>
      <c r="P13" s="14"/>
      <c r="Q13" s="14"/>
      <c r="R13" s="14"/>
      <c r="S13" s="14"/>
      <c r="T13" s="13" t="str">
        <f t="shared" si="2"/>
        <v/>
      </c>
      <c r="U13" s="13" t="str">
        <f t="shared" si="3"/>
        <v/>
      </c>
      <c r="V13" s="13" t="str">
        <f t="shared" si="4"/>
        <v/>
      </c>
      <c r="W13" s="14"/>
      <c r="X13" s="14"/>
      <c r="Y13" s="14"/>
      <c r="Z13" s="15"/>
      <c r="AA13" s="14"/>
      <c r="AB13" s="14"/>
      <c r="AC13" s="14"/>
      <c r="AD13" s="14"/>
    </row>
    <row r="14">
      <c r="A14" s="13" t="str">
        <f t="shared" si="1"/>
        <v/>
      </c>
      <c r="B14" s="14"/>
      <c r="C14" s="14"/>
      <c r="D14" s="14"/>
      <c r="E14" s="15"/>
      <c r="F14" s="15"/>
      <c r="G14" s="14"/>
      <c r="H14" s="15"/>
      <c r="I14" s="14"/>
      <c r="J14" s="14"/>
      <c r="K14" s="14"/>
      <c r="L14" s="14"/>
      <c r="M14" s="14"/>
      <c r="N14" s="14"/>
      <c r="O14" s="15"/>
      <c r="P14" s="14"/>
      <c r="Q14" s="14"/>
      <c r="R14" s="14"/>
      <c r="S14" s="14"/>
      <c r="T14" s="13" t="str">
        <f t="shared" si="2"/>
        <v/>
      </c>
      <c r="U14" s="13" t="str">
        <f t="shared" si="3"/>
        <v/>
      </c>
      <c r="V14" s="13" t="str">
        <f t="shared" si="4"/>
        <v/>
      </c>
      <c r="W14" s="14"/>
      <c r="X14" s="14"/>
      <c r="Y14" s="14"/>
      <c r="Z14" s="15"/>
      <c r="AA14" s="14"/>
      <c r="AB14" s="14"/>
      <c r="AC14" s="14"/>
      <c r="AD14" s="14"/>
    </row>
    <row r="15">
      <c r="A15" s="13" t="str">
        <f t="shared" si="1"/>
        <v/>
      </c>
      <c r="B15" s="14"/>
      <c r="C15" s="14"/>
      <c r="D15" s="14"/>
      <c r="E15" s="15"/>
      <c r="F15" s="15"/>
      <c r="G15" s="14"/>
      <c r="H15" s="15"/>
      <c r="I15" s="14"/>
      <c r="J15" s="14"/>
      <c r="K15" s="14"/>
      <c r="L15" s="14"/>
      <c r="M15" s="14"/>
      <c r="N15" s="14"/>
      <c r="O15" s="15"/>
      <c r="P15" s="14"/>
      <c r="Q15" s="14"/>
      <c r="R15" s="14"/>
      <c r="S15" s="14"/>
      <c r="T15" s="13" t="str">
        <f t="shared" si="2"/>
        <v/>
      </c>
      <c r="U15" s="13" t="str">
        <f t="shared" si="3"/>
        <v/>
      </c>
      <c r="V15" s="13" t="str">
        <f t="shared" si="4"/>
        <v/>
      </c>
      <c r="W15" s="14"/>
      <c r="X15" s="14"/>
      <c r="Y15" s="14"/>
      <c r="Z15" s="15"/>
      <c r="AA15" s="14"/>
      <c r="AB15" s="14"/>
      <c r="AC15" s="14"/>
      <c r="AD15" s="14"/>
    </row>
    <row r="16">
      <c r="A16" s="13" t="str">
        <f t="shared" si="1"/>
        <v/>
      </c>
      <c r="B16" s="14"/>
      <c r="C16" s="14"/>
      <c r="D16" s="14"/>
      <c r="E16" s="15"/>
      <c r="F16" s="15"/>
      <c r="G16" s="14"/>
      <c r="H16" s="15"/>
      <c r="I16" s="14"/>
      <c r="J16" s="14"/>
      <c r="K16" s="14"/>
      <c r="L16" s="14"/>
      <c r="M16" s="14"/>
      <c r="N16" s="14"/>
      <c r="O16" s="15"/>
      <c r="P16" s="14"/>
      <c r="Q16" s="14"/>
      <c r="R16" s="14"/>
      <c r="S16" s="14"/>
      <c r="T16" s="13" t="str">
        <f t="shared" si="2"/>
        <v/>
      </c>
      <c r="U16" s="13" t="str">
        <f t="shared" si="3"/>
        <v/>
      </c>
      <c r="V16" s="13" t="str">
        <f t="shared" si="4"/>
        <v/>
      </c>
      <c r="W16" s="14"/>
      <c r="X16" s="14"/>
      <c r="Y16" s="14"/>
      <c r="Z16" s="15"/>
      <c r="AA16" s="14"/>
      <c r="AB16" s="14"/>
      <c r="AC16" s="14"/>
      <c r="AD16" s="14"/>
    </row>
    <row r="17">
      <c r="A17" s="13" t="str">
        <f t="shared" si="1"/>
        <v/>
      </c>
      <c r="B17" s="14"/>
      <c r="C17" s="14"/>
      <c r="D17" s="14"/>
      <c r="E17" s="15"/>
      <c r="F17" s="15"/>
      <c r="G17" s="14"/>
      <c r="H17" s="15"/>
      <c r="I17" s="14"/>
      <c r="J17" s="14"/>
      <c r="K17" s="14"/>
      <c r="L17" s="14"/>
      <c r="M17" s="14"/>
      <c r="N17" s="14"/>
      <c r="O17" s="15"/>
      <c r="P17" s="14"/>
      <c r="Q17" s="14"/>
      <c r="R17" s="14"/>
      <c r="S17" s="14"/>
      <c r="T17" s="13" t="str">
        <f t="shared" si="2"/>
        <v/>
      </c>
      <c r="U17" s="13" t="str">
        <f t="shared" si="3"/>
        <v/>
      </c>
      <c r="V17" s="13" t="str">
        <f t="shared" si="4"/>
        <v/>
      </c>
      <c r="W17" s="14"/>
      <c r="X17" s="14"/>
      <c r="Y17" s="14"/>
      <c r="Z17" s="15"/>
      <c r="AA17" s="14"/>
      <c r="AB17" s="14"/>
      <c r="AC17" s="14"/>
      <c r="AD17" s="14"/>
    </row>
    <row r="18">
      <c r="A18" s="13" t="str">
        <f t="shared" si="1"/>
        <v/>
      </c>
      <c r="B18" s="14"/>
      <c r="C18" s="14"/>
      <c r="D18" s="14"/>
      <c r="E18" s="15"/>
      <c r="F18" s="15"/>
      <c r="G18" s="14"/>
      <c r="H18" s="15"/>
      <c r="I18" s="14"/>
      <c r="J18" s="14"/>
      <c r="K18" s="14"/>
      <c r="L18" s="14"/>
      <c r="M18" s="14"/>
      <c r="N18" s="14"/>
      <c r="O18" s="15"/>
      <c r="P18" s="14"/>
      <c r="Q18" s="14"/>
      <c r="R18" s="14"/>
      <c r="S18" s="14"/>
      <c r="T18" s="13" t="str">
        <f t="shared" si="2"/>
        <v/>
      </c>
      <c r="U18" s="13" t="str">
        <f t="shared" si="3"/>
        <v/>
      </c>
      <c r="V18" s="13" t="str">
        <f t="shared" si="4"/>
        <v/>
      </c>
      <c r="W18" s="14"/>
      <c r="X18" s="14"/>
      <c r="Y18" s="14"/>
      <c r="Z18" s="15"/>
      <c r="AA18" s="14"/>
      <c r="AB18" s="14"/>
      <c r="AC18" s="14"/>
      <c r="AD18" s="14"/>
    </row>
    <row r="19">
      <c r="A19" s="13" t="str">
        <f t="shared" si="1"/>
        <v/>
      </c>
      <c r="B19" s="14"/>
      <c r="C19" s="14"/>
      <c r="D19" s="14"/>
      <c r="E19" s="15"/>
      <c r="F19" s="15"/>
      <c r="G19" s="14"/>
      <c r="H19" s="15"/>
      <c r="I19" s="14"/>
      <c r="J19" s="14"/>
      <c r="K19" s="14"/>
      <c r="L19" s="14"/>
      <c r="M19" s="14"/>
      <c r="N19" s="14"/>
      <c r="O19" s="15"/>
      <c r="P19" s="14"/>
      <c r="Q19" s="14"/>
      <c r="R19" s="14"/>
      <c r="S19" s="14"/>
      <c r="T19" s="13" t="str">
        <f t="shared" si="2"/>
        <v/>
      </c>
      <c r="U19" s="13" t="str">
        <f t="shared" si="3"/>
        <v/>
      </c>
      <c r="V19" s="13" t="str">
        <f t="shared" si="4"/>
        <v/>
      </c>
      <c r="W19" s="14"/>
      <c r="X19" s="14"/>
      <c r="Y19" s="14"/>
      <c r="Z19" s="15"/>
      <c r="AA19" s="14"/>
      <c r="AB19" s="14"/>
      <c r="AC19" s="14"/>
      <c r="AD19" s="14"/>
    </row>
    <row r="20">
      <c r="A20" s="13" t="str">
        <f t="shared" si="1"/>
        <v/>
      </c>
      <c r="B20" s="14"/>
      <c r="C20" s="14"/>
      <c r="D20" s="14"/>
      <c r="E20" s="15"/>
      <c r="F20" s="15"/>
      <c r="G20" s="14"/>
      <c r="H20" s="15"/>
      <c r="I20" s="14"/>
      <c r="J20" s="14"/>
      <c r="K20" s="14"/>
      <c r="L20" s="14"/>
      <c r="M20" s="14"/>
      <c r="N20" s="14"/>
      <c r="O20" s="15"/>
      <c r="P20" s="14"/>
      <c r="Q20" s="14"/>
      <c r="R20" s="14"/>
      <c r="S20" s="14"/>
      <c r="T20" s="13" t="str">
        <f t="shared" si="2"/>
        <v/>
      </c>
      <c r="U20" s="13" t="str">
        <f t="shared" si="3"/>
        <v/>
      </c>
      <c r="V20" s="13" t="str">
        <f t="shared" si="4"/>
        <v/>
      </c>
      <c r="W20" s="14"/>
      <c r="X20" s="14"/>
      <c r="Y20" s="14"/>
      <c r="Z20" s="15"/>
      <c r="AA20" s="14"/>
      <c r="AB20" s="14"/>
      <c r="AC20" s="14"/>
      <c r="AD20" s="14"/>
    </row>
    <row r="21" ht="15.75" customHeight="1">
      <c r="A21" s="13" t="str">
        <f t="shared" si="1"/>
        <v/>
      </c>
      <c r="B21" s="14"/>
      <c r="C21" s="14"/>
      <c r="D21" s="14"/>
      <c r="E21" s="15"/>
      <c r="F21" s="15"/>
      <c r="G21" s="14"/>
      <c r="H21" s="15"/>
      <c r="I21" s="14"/>
      <c r="J21" s="14"/>
      <c r="K21" s="14"/>
      <c r="L21" s="14"/>
      <c r="M21" s="14"/>
      <c r="N21" s="14"/>
      <c r="O21" s="15"/>
      <c r="P21" s="14"/>
      <c r="Q21" s="14"/>
      <c r="R21" s="14"/>
      <c r="S21" s="14"/>
      <c r="T21" s="13" t="str">
        <f t="shared" si="2"/>
        <v/>
      </c>
      <c r="U21" s="13" t="str">
        <f t="shared" si="3"/>
        <v/>
      </c>
      <c r="V21" s="13" t="str">
        <f t="shared" si="4"/>
        <v/>
      </c>
      <c r="W21" s="14"/>
      <c r="X21" s="14"/>
      <c r="Y21" s="14"/>
      <c r="Z21" s="15"/>
      <c r="AA21" s="14"/>
      <c r="AB21" s="14"/>
      <c r="AC21" s="14"/>
      <c r="AD21" s="14"/>
    </row>
    <row r="22" ht="15.75" customHeight="1">
      <c r="A22" s="13" t="str">
        <f t="shared" si="1"/>
        <v/>
      </c>
      <c r="B22" s="14"/>
      <c r="C22" s="14"/>
      <c r="D22" s="14"/>
      <c r="E22" s="15"/>
      <c r="F22" s="15"/>
      <c r="G22" s="14"/>
      <c r="H22" s="15"/>
      <c r="I22" s="14"/>
      <c r="J22" s="14"/>
      <c r="K22" s="14"/>
      <c r="L22" s="14"/>
      <c r="M22" s="14"/>
      <c r="N22" s="14"/>
      <c r="O22" s="15"/>
      <c r="P22" s="14"/>
      <c r="Q22" s="14"/>
      <c r="R22" s="14"/>
      <c r="S22" s="14"/>
      <c r="T22" s="13" t="str">
        <f t="shared" si="2"/>
        <v/>
      </c>
      <c r="U22" s="13" t="str">
        <f t="shared" si="3"/>
        <v/>
      </c>
      <c r="V22" s="13" t="str">
        <f t="shared" si="4"/>
        <v/>
      </c>
      <c r="W22" s="14"/>
      <c r="X22" s="14"/>
      <c r="Y22" s="14"/>
      <c r="Z22" s="15"/>
      <c r="AA22" s="14"/>
      <c r="AB22" s="14"/>
      <c r="AC22" s="14"/>
      <c r="AD22" s="14"/>
    </row>
    <row r="23" ht="15.75" customHeight="1">
      <c r="A23" s="13" t="str">
        <f t="shared" si="1"/>
        <v/>
      </c>
      <c r="B23" s="14"/>
      <c r="C23" s="14"/>
      <c r="D23" s="14"/>
      <c r="E23" s="15"/>
      <c r="F23" s="15"/>
      <c r="G23" s="14"/>
      <c r="H23" s="15"/>
      <c r="I23" s="14"/>
      <c r="J23" s="14"/>
      <c r="K23" s="14"/>
      <c r="L23" s="14"/>
      <c r="M23" s="14"/>
      <c r="N23" s="14"/>
      <c r="O23" s="15"/>
      <c r="P23" s="14"/>
      <c r="Q23" s="14"/>
      <c r="R23" s="14"/>
      <c r="S23" s="14"/>
      <c r="T23" s="13" t="str">
        <f t="shared" si="2"/>
        <v/>
      </c>
      <c r="U23" s="13" t="str">
        <f t="shared" si="3"/>
        <v/>
      </c>
      <c r="V23" s="13" t="str">
        <f t="shared" si="4"/>
        <v/>
      </c>
      <c r="W23" s="14"/>
      <c r="X23" s="14"/>
      <c r="Y23" s="14"/>
      <c r="Z23" s="15"/>
      <c r="AA23" s="14"/>
      <c r="AB23" s="14"/>
      <c r="AC23" s="14"/>
      <c r="AD23" s="14"/>
    </row>
    <row r="24" ht="15.75" customHeight="1">
      <c r="A24" s="13" t="str">
        <f t="shared" si="1"/>
        <v/>
      </c>
      <c r="B24" s="14"/>
      <c r="C24" s="14"/>
      <c r="D24" s="14"/>
      <c r="E24" s="15"/>
      <c r="F24" s="15"/>
      <c r="G24" s="14"/>
      <c r="H24" s="15"/>
      <c r="I24" s="14"/>
      <c r="J24" s="14"/>
      <c r="K24" s="14"/>
      <c r="L24" s="14"/>
      <c r="M24" s="14"/>
      <c r="N24" s="14"/>
      <c r="O24" s="15"/>
      <c r="P24" s="14"/>
      <c r="Q24" s="14"/>
      <c r="R24" s="14"/>
      <c r="S24" s="14"/>
      <c r="T24" s="13" t="str">
        <f t="shared" si="2"/>
        <v/>
      </c>
      <c r="U24" s="13" t="str">
        <f t="shared" si="3"/>
        <v/>
      </c>
      <c r="V24" s="13" t="str">
        <f t="shared" si="4"/>
        <v/>
      </c>
      <c r="W24" s="14"/>
      <c r="X24" s="14"/>
      <c r="Y24" s="14"/>
      <c r="Z24" s="15"/>
      <c r="AA24" s="14"/>
      <c r="AB24" s="14"/>
      <c r="AC24" s="14"/>
      <c r="AD24" s="14"/>
    </row>
    <row r="25" ht="15.75" customHeight="1">
      <c r="A25" s="13" t="str">
        <f t="shared" si="1"/>
        <v/>
      </c>
      <c r="B25" s="14"/>
      <c r="C25" s="14"/>
      <c r="D25" s="14"/>
      <c r="E25" s="15"/>
      <c r="F25" s="15"/>
      <c r="G25" s="14"/>
      <c r="H25" s="15"/>
      <c r="I25" s="14"/>
      <c r="J25" s="14"/>
      <c r="K25" s="14"/>
      <c r="L25" s="14"/>
      <c r="M25" s="14"/>
      <c r="N25" s="14"/>
      <c r="O25" s="15"/>
      <c r="P25" s="14"/>
      <c r="Q25" s="14"/>
      <c r="R25" s="14"/>
      <c r="S25" s="14"/>
      <c r="T25" s="13" t="str">
        <f t="shared" si="2"/>
        <v/>
      </c>
      <c r="U25" s="13" t="str">
        <f t="shared" si="3"/>
        <v/>
      </c>
      <c r="V25" s="13" t="str">
        <f t="shared" si="4"/>
        <v/>
      </c>
      <c r="W25" s="14"/>
      <c r="X25" s="14"/>
      <c r="Y25" s="14"/>
      <c r="Z25" s="15"/>
      <c r="AA25" s="14"/>
      <c r="AB25" s="14"/>
      <c r="AC25" s="14"/>
      <c r="AD25" s="14"/>
    </row>
    <row r="26" ht="15.75" customHeight="1">
      <c r="A26" s="13" t="str">
        <f t="shared" si="1"/>
        <v/>
      </c>
      <c r="B26" s="14"/>
      <c r="C26" s="14"/>
      <c r="D26" s="14"/>
      <c r="E26" s="15"/>
      <c r="F26" s="15"/>
      <c r="G26" s="14"/>
      <c r="H26" s="15"/>
      <c r="I26" s="14"/>
      <c r="J26" s="14"/>
      <c r="K26" s="14"/>
      <c r="L26" s="14"/>
      <c r="M26" s="14"/>
      <c r="N26" s="14"/>
      <c r="O26" s="15"/>
      <c r="P26" s="14"/>
      <c r="Q26" s="14"/>
      <c r="R26" s="14"/>
      <c r="S26" s="14"/>
      <c r="T26" s="13" t="str">
        <f t="shared" si="2"/>
        <v/>
      </c>
      <c r="U26" s="13" t="str">
        <f t="shared" si="3"/>
        <v/>
      </c>
      <c r="V26" s="13" t="str">
        <f t="shared" si="4"/>
        <v/>
      </c>
      <c r="W26" s="14"/>
      <c r="X26" s="14"/>
      <c r="Y26" s="14"/>
      <c r="Z26" s="15"/>
      <c r="AA26" s="14"/>
      <c r="AB26" s="14"/>
      <c r="AC26" s="14"/>
      <c r="AD26" s="14"/>
    </row>
    <row r="27" ht="15.75" customHeight="1">
      <c r="A27" s="13" t="str">
        <f t="shared" si="1"/>
        <v/>
      </c>
      <c r="B27" s="14"/>
      <c r="C27" s="14"/>
      <c r="D27" s="14"/>
      <c r="E27" s="15"/>
      <c r="F27" s="15"/>
      <c r="G27" s="14"/>
      <c r="H27" s="15"/>
      <c r="I27" s="14"/>
      <c r="J27" s="14"/>
      <c r="K27" s="14"/>
      <c r="L27" s="14"/>
      <c r="M27" s="14"/>
      <c r="N27" s="14"/>
      <c r="O27" s="15"/>
      <c r="P27" s="14"/>
      <c r="Q27" s="14"/>
      <c r="R27" s="14"/>
      <c r="S27" s="14"/>
      <c r="T27" s="13" t="str">
        <f t="shared" si="2"/>
        <v/>
      </c>
      <c r="U27" s="13" t="str">
        <f t="shared" si="3"/>
        <v/>
      </c>
      <c r="V27" s="13" t="str">
        <f t="shared" si="4"/>
        <v/>
      </c>
      <c r="W27" s="14"/>
      <c r="X27" s="14"/>
      <c r="Y27" s="14"/>
      <c r="Z27" s="15"/>
      <c r="AA27" s="14"/>
      <c r="AB27" s="14"/>
      <c r="AC27" s="14"/>
      <c r="AD27" s="14"/>
    </row>
    <row r="28" ht="15.75" customHeight="1">
      <c r="A28" s="13" t="str">
        <f t="shared" si="1"/>
        <v/>
      </c>
      <c r="B28" s="14"/>
      <c r="C28" s="14"/>
      <c r="D28" s="14"/>
      <c r="E28" s="15"/>
      <c r="F28" s="15"/>
      <c r="G28" s="14"/>
      <c r="H28" s="15"/>
      <c r="I28" s="14"/>
      <c r="J28" s="14"/>
      <c r="K28" s="14"/>
      <c r="L28" s="14"/>
      <c r="M28" s="14"/>
      <c r="N28" s="14"/>
      <c r="O28" s="15"/>
      <c r="P28" s="14"/>
      <c r="Q28" s="14"/>
      <c r="R28" s="14"/>
      <c r="S28" s="14"/>
      <c r="T28" s="13" t="str">
        <f t="shared" si="2"/>
        <v/>
      </c>
      <c r="U28" s="13" t="str">
        <f t="shared" si="3"/>
        <v/>
      </c>
      <c r="V28" s="13" t="str">
        <f t="shared" si="4"/>
        <v/>
      </c>
      <c r="W28" s="14"/>
      <c r="X28" s="14"/>
      <c r="Y28" s="14"/>
      <c r="Z28" s="15"/>
      <c r="AA28" s="14"/>
      <c r="AB28" s="14"/>
      <c r="AC28" s="14"/>
      <c r="AD28" s="14"/>
    </row>
    <row r="29" ht="15.75" customHeight="1">
      <c r="A29" s="13" t="str">
        <f t="shared" si="1"/>
        <v/>
      </c>
      <c r="B29" s="14"/>
      <c r="C29" s="14"/>
      <c r="D29" s="14"/>
      <c r="E29" s="15"/>
      <c r="F29" s="15"/>
      <c r="G29" s="14"/>
      <c r="H29" s="15"/>
      <c r="I29" s="14"/>
      <c r="J29" s="14"/>
      <c r="K29" s="14"/>
      <c r="L29" s="14"/>
      <c r="M29" s="14"/>
      <c r="N29" s="14"/>
      <c r="O29" s="15"/>
      <c r="P29" s="14"/>
      <c r="Q29" s="14"/>
      <c r="R29" s="14"/>
      <c r="S29" s="14"/>
      <c r="T29" s="13" t="str">
        <f t="shared" si="2"/>
        <v/>
      </c>
      <c r="U29" s="13" t="str">
        <f t="shared" si="3"/>
        <v/>
      </c>
      <c r="V29" s="13" t="str">
        <f t="shared" si="4"/>
        <v/>
      </c>
      <c r="W29" s="14"/>
      <c r="X29" s="14"/>
      <c r="Y29" s="14"/>
      <c r="Z29" s="15"/>
      <c r="AA29" s="14"/>
      <c r="AB29" s="14"/>
      <c r="AC29" s="14"/>
      <c r="AD29" s="14"/>
    </row>
    <row r="30" ht="15.75" customHeight="1">
      <c r="A30" s="13" t="str">
        <f t="shared" si="1"/>
        <v/>
      </c>
      <c r="B30" s="14"/>
      <c r="C30" s="14"/>
      <c r="D30" s="14"/>
      <c r="E30" s="15"/>
      <c r="F30" s="15"/>
      <c r="G30" s="14"/>
      <c r="H30" s="15"/>
      <c r="I30" s="14"/>
      <c r="J30" s="14"/>
      <c r="K30" s="14"/>
      <c r="L30" s="14"/>
      <c r="M30" s="14"/>
      <c r="N30" s="14"/>
      <c r="O30" s="15"/>
      <c r="P30" s="14"/>
      <c r="Q30" s="14"/>
      <c r="R30" s="14"/>
      <c r="S30" s="14"/>
      <c r="T30" s="13" t="str">
        <f t="shared" si="2"/>
        <v/>
      </c>
      <c r="U30" s="13" t="str">
        <f t="shared" si="3"/>
        <v/>
      </c>
      <c r="V30" s="13" t="str">
        <f t="shared" si="4"/>
        <v/>
      </c>
      <c r="W30" s="14"/>
      <c r="X30" s="14"/>
      <c r="Y30" s="14"/>
      <c r="Z30" s="15"/>
      <c r="AA30" s="14"/>
      <c r="AB30" s="14"/>
      <c r="AC30" s="14"/>
      <c r="AD30" s="14"/>
    </row>
    <row r="31" ht="15.75" customHeight="1">
      <c r="A31" s="13" t="str">
        <f t="shared" si="1"/>
        <v/>
      </c>
      <c r="B31" s="14"/>
      <c r="C31" s="14"/>
      <c r="D31" s="14"/>
      <c r="E31" s="15"/>
      <c r="F31" s="15"/>
      <c r="G31" s="14"/>
      <c r="H31" s="15"/>
      <c r="I31" s="14"/>
      <c r="J31" s="14"/>
      <c r="K31" s="14"/>
      <c r="L31" s="14"/>
      <c r="M31" s="14"/>
      <c r="N31" s="14"/>
      <c r="O31" s="15"/>
      <c r="P31" s="14"/>
      <c r="Q31" s="14"/>
      <c r="R31" s="14"/>
      <c r="S31" s="14"/>
      <c r="T31" s="13" t="str">
        <f t="shared" si="2"/>
        <v/>
      </c>
      <c r="U31" s="13" t="str">
        <f t="shared" si="3"/>
        <v/>
      </c>
      <c r="V31" s="13" t="str">
        <f t="shared" si="4"/>
        <v/>
      </c>
      <c r="W31" s="14"/>
      <c r="X31" s="14"/>
      <c r="Y31" s="14"/>
      <c r="Z31" s="15"/>
      <c r="AA31" s="14"/>
      <c r="AB31" s="14"/>
      <c r="AC31" s="14"/>
      <c r="AD31" s="14"/>
    </row>
    <row r="32" ht="15.75" customHeight="1">
      <c r="A32" s="13" t="str">
        <f t="shared" si="1"/>
        <v/>
      </c>
      <c r="B32" s="14"/>
      <c r="C32" s="14"/>
      <c r="D32" s="14"/>
      <c r="E32" s="15"/>
      <c r="F32" s="15"/>
      <c r="G32" s="14"/>
      <c r="H32" s="15"/>
      <c r="I32" s="14"/>
      <c r="J32" s="14"/>
      <c r="K32" s="14"/>
      <c r="L32" s="14"/>
      <c r="M32" s="14"/>
      <c r="N32" s="14"/>
      <c r="O32" s="15"/>
      <c r="P32" s="14"/>
      <c r="Q32" s="14"/>
      <c r="R32" s="14"/>
      <c r="S32" s="14"/>
      <c r="T32" s="13" t="str">
        <f t="shared" si="2"/>
        <v/>
      </c>
      <c r="U32" s="13" t="str">
        <f t="shared" si="3"/>
        <v/>
      </c>
      <c r="V32" s="13" t="str">
        <f t="shared" si="4"/>
        <v/>
      </c>
      <c r="W32" s="14"/>
      <c r="X32" s="14"/>
      <c r="Y32" s="14"/>
      <c r="Z32" s="15"/>
      <c r="AA32" s="14"/>
      <c r="AB32" s="14"/>
      <c r="AC32" s="14"/>
      <c r="AD32" s="14"/>
    </row>
    <row r="33" ht="15.75" customHeight="1">
      <c r="A33" s="13" t="str">
        <f t="shared" si="1"/>
        <v/>
      </c>
      <c r="B33" s="14"/>
      <c r="C33" s="14"/>
      <c r="D33" s="14"/>
      <c r="E33" s="15"/>
      <c r="F33" s="15"/>
      <c r="G33" s="14"/>
      <c r="H33" s="15"/>
      <c r="I33" s="14"/>
      <c r="J33" s="14"/>
      <c r="K33" s="14"/>
      <c r="L33" s="14"/>
      <c r="M33" s="14"/>
      <c r="N33" s="14"/>
      <c r="O33" s="15"/>
      <c r="P33" s="14"/>
      <c r="Q33" s="14"/>
      <c r="R33" s="14"/>
      <c r="S33" s="14"/>
      <c r="T33" s="13" t="str">
        <f t="shared" si="2"/>
        <v/>
      </c>
      <c r="U33" s="13" t="str">
        <f t="shared" si="3"/>
        <v/>
      </c>
      <c r="V33" s="13" t="str">
        <f t="shared" si="4"/>
        <v/>
      </c>
      <c r="W33" s="14"/>
      <c r="X33" s="14"/>
      <c r="Y33" s="14"/>
      <c r="Z33" s="15"/>
      <c r="AA33" s="14"/>
      <c r="AB33" s="14"/>
      <c r="AC33" s="14"/>
      <c r="AD33" s="14"/>
    </row>
    <row r="34" ht="15.75" customHeight="1">
      <c r="A34" s="13" t="str">
        <f t="shared" si="1"/>
        <v/>
      </c>
      <c r="B34" s="14"/>
      <c r="C34" s="14"/>
      <c r="D34" s="14"/>
      <c r="E34" s="15"/>
      <c r="F34" s="15"/>
      <c r="G34" s="14"/>
      <c r="H34" s="15"/>
      <c r="I34" s="14"/>
      <c r="J34" s="14"/>
      <c r="K34" s="14"/>
      <c r="L34" s="14"/>
      <c r="M34" s="14"/>
      <c r="N34" s="14"/>
      <c r="O34" s="15"/>
      <c r="P34" s="14"/>
      <c r="Q34" s="14"/>
      <c r="R34" s="14"/>
      <c r="S34" s="14"/>
      <c r="T34" s="13" t="str">
        <f t="shared" si="2"/>
        <v/>
      </c>
      <c r="U34" s="13" t="str">
        <f t="shared" si="3"/>
        <v/>
      </c>
      <c r="V34" s="13" t="str">
        <f t="shared" si="4"/>
        <v/>
      </c>
      <c r="W34" s="14"/>
      <c r="X34" s="14"/>
      <c r="Y34" s="14"/>
      <c r="Z34" s="15"/>
      <c r="AA34" s="14"/>
      <c r="AB34" s="14"/>
      <c r="AC34" s="14"/>
      <c r="AD34" s="14"/>
    </row>
    <row r="35" ht="15.75" customHeight="1">
      <c r="A35" s="13" t="str">
        <f t="shared" si="1"/>
        <v/>
      </c>
      <c r="B35" s="14"/>
      <c r="C35" s="14"/>
      <c r="D35" s="14"/>
      <c r="E35" s="15"/>
      <c r="F35" s="15"/>
      <c r="G35" s="14"/>
      <c r="H35" s="15"/>
      <c r="I35" s="14"/>
      <c r="J35" s="14"/>
      <c r="K35" s="14"/>
      <c r="L35" s="14"/>
      <c r="M35" s="14"/>
      <c r="N35" s="14"/>
      <c r="O35" s="15"/>
      <c r="P35" s="14"/>
      <c r="Q35" s="14"/>
      <c r="R35" s="14"/>
      <c r="S35" s="14"/>
      <c r="T35" s="13" t="str">
        <f t="shared" si="2"/>
        <v/>
      </c>
      <c r="U35" s="13" t="str">
        <f t="shared" si="3"/>
        <v/>
      </c>
      <c r="V35" s="13" t="str">
        <f t="shared" si="4"/>
        <v/>
      </c>
      <c r="W35" s="14"/>
      <c r="X35" s="14"/>
      <c r="Y35" s="14"/>
      <c r="Z35" s="15"/>
      <c r="AA35" s="14"/>
      <c r="AB35" s="14"/>
      <c r="AC35" s="14"/>
      <c r="AD35" s="14"/>
    </row>
    <row r="36" ht="15.75" customHeight="1">
      <c r="A36" s="13" t="str">
        <f t="shared" si="1"/>
        <v/>
      </c>
      <c r="B36" s="14"/>
      <c r="C36" s="14"/>
      <c r="D36" s="14"/>
      <c r="E36" s="15"/>
      <c r="F36" s="15"/>
      <c r="G36" s="14"/>
      <c r="H36" s="15"/>
      <c r="I36" s="14"/>
      <c r="J36" s="14"/>
      <c r="K36" s="14"/>
      <c r="L36" s="14"/>
      <c r="M36" s="14"/>
      <c r="N36" s="14"/>
      <c r="O36" s="15"/>
      <c r="P36" s="14"/>
      <c r="Q36" s="14"/>
      <c r="R36" s="14"/>
      <c r="S36" s="14"/>
      <c r="T36" s="13" t="str">
        <f t="shared" si="2"/>
        <v/>
      </c>
      <c r="U36" s="13" t="str">
        <f t="shared" si="3"/>
        <v/>
      </c>
      <c r="V36" s="13" t="str">
        <f t="shared" si="4"/>
        <v/>
      </c>
      <c r="W36" s="14"/>
      <c r="X36" s="14"/>
      <c r="Y36" s="14"/>
      <c r="Z36" s="15"/>
      <c r="AA36" s="14"/>
      <c r="AB36" s="14"/>
      <c r="AC36" s="14"/>
      <c r="AD36" s="14"/>
    </row>
    <row r="37" ht="15.75" customHeight="1">
      <c r="A37" s="13" t="str">
        <f t="shared" si="1"/>
        <v/>
      </c>
      <c r="B37" s="14"/>
      <c r="C37" s="14"/>
      <c r="D37" s="14"/>
      <c r="E37" s="15"/>
      <c r="F37" s="15"/>
      <c r="G37" s="14"/>
      <c r="H37" s="15"/>
      <c r="I37" s="14"/>
      <c r="J37" s="14"/>
      <c r="K37" s="14"/>
      <c r="L37" s="14"/>
      <c r="M37" s="14"/>
      <c r="N37" s="14"/>
      <c r="O37" s="15"/>
      <c r="P37" s="14"/>
      <c r="Q37" s="14"/>
      <c r="R37" s="14"/>
      <c r="S37" s="14"/>
      <c r="T37" s="13" t="str">
        <f t="shared" si="2"/>
        <v/>
      </c>
      <c r="U37" s="13" t="str">
        <f t="shared" si="3"/>
        <v/>
      </c>
      <c r="V37" s="13" t="str">
        <f t="shared" si="4"/>
        <v/>
      </c>
      <c r="W37" s="14"/>
      <c r="X37" s="14"/>
      <c r="Y37" s="14"/>
      <c r="Z37" s="15"/>
      <c r="AA37" s="14"/>
      <c r="AB37" s="14"/>
      <c r="AC37" s="14"/>
      <c r="AD37" s="14"/>
    </row>
    <row r="38" ht="15.75" customHeight="1">
      <c r="A38" s="13" t="str">
        <f t="shared" si="1"/>
        <v/>
      </c>
      <c r="B38" s="14"/>
      <c r="C38" s="14"/>
      <c r="D38" s="14"/>
      <c r="E38" s="15"/>
      <c r="F38" s="15"/>
      <c r="G38" s="14"/>
      <c r="H38" s="15"/>
      <c r="I38" s="14"/>
      <c r="J38" s="14"/>
      <c r="K38" s="14"/>
      <c r="L38" s="14"/>
      <c r="M38" s="14"/>
      <c r="N38" s="14"/>
      <c r="O38" s="15"/>
      <c r="P38" s="14"/>
      <c r="Q38" s="14"/>
      <c r="R38" s="14"/>
      <c r="S38" s="14"/>
      <c r="T38" s="13" t="str">
        <f t="shared" si="2"/>
        <v/>
      </c>
      <c r="U38" s="13" t="str">
        <f t="shared" si="3"/>
        <v/>
      </c>
      <c r="V38" s="13" t="str">
        <f t="shared" si="4"/>
        <v/>
      </c>
      <c r="W38" s="14"/>
      <c r="X38" s="14"/>
      <c r="Y38" s="14"/>
      <c r="Z38" s="15"/>
      <c r="AA38" s="14"/>
      <c r="AB38" s="14"/>
      <c r="AC38" s="14"/>
      <c r="AD38" s="14"/>
    </row>
    <row r="39" ht="15.75" customHeight="1">
      <c r="A39" s="13" t="str">
        <f t="shared" si="1"/>
        <v/>
      </c>
      <c r="B39" s="14"/>
      <c r="C39" s="14"/>
      <c r="D39" s="14"/>
      <c r="E39" s="15"/>
      <c r="F39" s="15"/>
      <c r="G39" s="14"/>
      <c r="H39" s="15"/>
      <c r="I39" s="14"/>
      <c r="J39" s="14"/>
      <c r="K39" s="14"/>
      <c r="L39" s="14"/>
      <c r="M39" s="14"/>
      <c r="N39" s="14"/>
      <c r="O39" s="15"/>
      <c r="P39" s="14"/>
      <c r="Q39" s="14"/>
      <c r="R39" s="14"/>
      <c r="S39" s="14"/>
      <c r="T39" s="13" t="str">
        <f t="shared" si="2"/>
        <v/>
      </c>
      <c r="U39" s="13" t="str">
        <f t="shared" si="3"/>
        <v/>
      </c>
      <c r="V39" s="13" t="str">
        <f t="shared" si="4"/>
        <v/>
      </c>
      <c r="W39" s="14"/>
      <c r="X39" s="14"/>
      <c r="Y39" s="14"/>
      <c r="Z39" s="15"/>
      <c r="AA39" s="14"/>
      <c r="AB39" s="14"/>
      <c r="AC39" s="14"/>
      <c r="AD39" s="14"/>
    </row>
    <row r="40" ht="15.75" customHeight="1">
      <c r="A40" s="13" t="str">
        <f t="shared" si="1"/>
        <v/>
      </c>
      <c r="B40" s="14"/>
      <c r="C40" s="14"/>
      <c r="D40" s="14"/>
      <c r="E40" s="15"/>
      <c r="F40" s="15"/>
      <c r="G40" s="14"/>
      <c r="H40" s="15"/>
      <c r="I40" s="14"/>
      <c r="J40" s="14"/>
      <c r="K40" s="14"/>
      <c r="L40" s="14"/>
      <c r="M40" s="14"/>
      <c r="N40" s="14"/>
      <c r="O40" s="15"/>
      <c r="P40" s="14"/>
      <c r="Q40" s="14"/>
      <c r="R40" s="14"/>
      <c r="S40" s="14"/>
      <c r="T40" s="13" t="str">
        <f t="shared" si="2"/>
        <v/>
      </c>
      <c r="U40" s="13" t="str">
        <f t="shared" si="3"/>
        <v/>
      </c>
      <c r="V40" s="13" t="str">
        <f t="shared" si="4"/>
        <v/>
      </c>
      <c r="W40" s="14"/>
      <c r="X40" s="14"/>
      <c r="Y40" s="14"/>
      <c r="Z40" s="15"/>
      <c r="AA40" s="14"/>
      <c r="AB40" s="14"/>
      <c r="AC40" s="14"/>
      <c r="AD40" s="14"/>
    </row>
    <row r="41" ht="15.75" customHeight="1">
      <c r="A41" s="13" t="str">
        <f t="shared" si="1"/>
        <v/>
      </c>
      <c r="B41" s="14"/>
      <c r="C41" s="14"/>
      <c r="D41" s="14"/>
      <c r="E41" s="15"/>
      <c r="F41" s="15"/>
      <c r="G41" s="14"/>
      <c r="H41" s="15"/>
      <c r="I41" s="14"/>
      <c r="J41" s="14"/>
      <c r="K41" s="14"/>
      <c r="L41" s="14"/>
      <c r="M41" s="14"/>
      <c r="N41" s="14"/>
      <c r="O41" s="15"/>
      <c r="P41" s="14"/>
      <c r="Q41" s="14"/>
      <c r="R41" s="14"/>
      <c r="S41" s="14"/>
      <c r="T41" s="13" t="str">
        <f t="shared" si="2"/>
        <v/>
      </c>
      <c r="U41" s="13" t="str">
        <f t="shared" si="3"/>
        <v/>
      </c>
      <c r="V41" s="13" t="str">
        <f t="shared" si="4"/>
        <v/>
      </c>
      <c r="W41" s="14"/>
      <c r="X41" s="14"/>
      <c r="Y41" s="14"/>
      <c r="Z41" s="15"/>
      <c r="AA41" s="14"/>
      <c r="AB41" s="14"/>
      <c r="AC41" s="14"/>
      <c r="AD41" s="14"/>
    </row>
    <row r="42" ht="15.75" customHeight="1">
      <c r="A42" s="13" t="str">
        <f t="shared" si="1"/>
        <v/>
      </c>
      <c r="B42" s="14"/>
      <c r="C42" s="14"/>
      <c r="D42" s="14"/>
      <c r="E42" s="15"/>
      <c r="F42" s="15"/>
      <c r="G42" s="14"/>
      <c r="H42" s="15"/>
      <c r="I42" s="14"/>
      <c r="J42" s="14"/>
      <c r="K42" s="14"/>
      <c r="L42" s="14"/>
      <c r="M42" s="14"/>
      <c r="N42" s="14"/>
      <c r="O42" s="15"/>
      <c r="P42" s="14"/>
      <c r="Q42" s="14"/>
      <c r="R42" s="14"/>
      <c r="S42" s="14"/>
      <c r="T42" s="13" t="str">
        <f t="shared" si="2"/>
        <v/>
      </c>
      <c r="U42" s="13" t="str">
        <f t="shared" si="3"/>
        <v/>
      </c>
      <c r="V42" s="13" t="str">
        <f t="shared" si="4"/>
        <v/>
      </c>
      <c r="W42" s="14"/>
      <c r="X42" s="14"/>
      <c r="Y42" s="14"/>
      <c r="Z42" s="15"/>
      <c r="AA42" s="14"/>
      <c r="AB42" s="14"/>
      <c r="AC42" s="14"/>
      <c r="AD42" s="14"/>
    </row>
    <row r="43" ht="15.75" customHeight="1">
      <c r="A43" s="13" t="str">
        <f t="shared" si="1"/>
        <v/>
      </c>
      <c r="B43" s="14"/>
      <c r="C43" s="14"/>
      <c r="D43" s="14"/>
      <c r="E43" s="15"/>
      <c r="F43" s="15"/>
      <c r="G43" s="14"/>
      <c r="H43" s="15"/>
      <c r="I43" s="14"/>
      <c r="J43" s="14"/>
      <c r="K43" s="14"/>
      <c r="L43" s="14"/>
      <c r="M43" s="14"/>
      <c r="N43" s="14"/>
      <c r="O43" s="15"/>
      <c r="P43" s="14"/>
      <c r="Q43" s="14"/>
      <c r="R43" s="14"/>
      <c r="S43" s="14"/>
      <c r="T43" s="13" t="str">
        <f t="shared" si="2"/>
        <v/>
      </c>
      <c r="U43" s="13" t="str">
        <f t="shared" si="3"/>
        <v/>
      </c>
      <c r="V43" s="13" t="str">
        <f t="shared" si="4"/>
        <v/>
      </c>
      <c r="W43" s="14"/>
      <c r="X43" s="14"/>
      <c r="Y43" s="14"/>
      <c r="Z43" s="15"/>
      <c r="AA43" s="14"/>
      <c r="AB43" s="14"/>
      <c r="AC43" s="14"/>
      <c r="AD43" s="14"/>
    </row>
    <row r="44" ht="15.75" customHeight="1">
      <c r="A44" s="13" t="str">
        <f t="shared" si="1"/>
        <v/>
      </c>
      <c r="B44" s="14"/>
      <c r="C44" s="14"/>
      <c r="D44" s="14"/>
      <c r="E44" s="15"/>
      <c r="F44" s="15"/>
      <c r="G44" s="14"/>
      <c r="H44" s="15"/>
      <c r="I44" s="14"/>
      <c r="J44" s="14"/>
      <c r="K44" s="14"/>
      <c r="L44" s="14"/>
      <c r="M44" s="14"/>
      <c r="N44" s="14"/>
      <c r="O44" s="15"/>
      <c r="P44" s="14"/>
      <c r="Q44" s="14"/>
      <c r="R44" s="14"/>
      <c r="S44" s="14"/>
      <c r="T44" s="13" t="str">
        <f t="shared" si="2"/>
        <v/>
      </c>
      <c r="U44" s="13" t="str">
        <f t="shared" si="3"/>
        <v/>
      </c>
      <c r="V44" s="13" t="str">
        <f t="shared" si="4"/>
        <v/>
      </c>
      <c r="W44" s="14"/>
      <c r="X44" s="14"/>
      <c r="Y44" s="14"/>
      <c r="Z44" s="15"/>
      <c r="AA44" s="14"/>
      <c r="AB44" s="14"/>
      <c r="AC44" s="14"/>
      <c r="AD44" s="14"/>
    </row>
    <row r="45" ht="15.75" customHeight="1">
      <c r="A45" s="13" t="str">
        <f t="shared" si="1"/>
        <v/>
      </c>
      <c r="B45" s="14"/>
      <c r="C45" s="14"/>
      <c r="D45" s="14"/>
      <c r="E45" s="15"/>
      <c r="F45" s="15"/>
      <c r="G45" s="14"/>
      <c r="H45" s="15"/>
      <c r="I45" s="14"/>
      <c r="J45" s="14"/>
      <c r="K45" s="14"/>
      <c r="L45" s="14"/>
      <c r="M45" s="14"/>
      <c r="N45" s="14"/>
      <c r="O45" s="15"/>
      <c r="P45" s="14"/>
      <c r="Q45" s="14"/>
      <c r="R45" s="14"/>
      <c r="S45" s="14"/>
      <c r="T45" s="13" t="str">
        <f t="shared" si="2"/>
        <v/>
      </c>
      <c r="U45" s="13" t="str">
        <f t="shared" si="3"/>
        <v/>
      </c>
      <c r="V45" s="13" t="str">
        <f t="shared" si="4"/>
        <v/>
      </c>
      <c r="W45" s="14"/>
      <c r="X45" s="14"/>
      <c r="Y45" s="14"/>
      <c r="Z45" s="15"/>
      <c r="AA45" s="14"/>
      <c r="AB45" s="14"/>
      <c r="AC45" s="14"/>
      <c r="AD45" s="14"/>
    </row>
    <row r="46" ht="15.75" customHeight="1">
      <c r="A46" s="13" t="str">
        <f t="shared" si="1"/>
        <v/>
      </c>
      <c r="B46" s="14"/>
      <c r="C46" s="14"/>
      <c r="D46" s="14"/>
      <c r="E46" s="15"/>
      <c r="F46" s="15"/>
      <c r="G46" s="14"/>
      <c r="H46" s="15"/>
      <c r="I46" s="14"/>
      <c r="J46" s="14"/>
      <c r="K46" s="14"/>
      <c r="L46" s="14"/>
      <c r="M46" s="14"/>
      <c r="N46" s="14"/>
      <c r="O46" s="15"/>
      <c r="P46" s="14"/>
      <c r="Q46" s="14"/>
      <c r="R46" s="14"/>
      <c r="S46" s="14"/>
      <c r="T46" s="13" t="str">
        <f t="shared" si="2"/>
        <v/>
      </c>
      <c r="U46" s="13" t="str">
        <f t="shared" si="3"/>
        <v/>
      </c>
      <c r="V46" s="13" t="str">
        <f t="shared" si="4"/>
        <v/>
      </c>
      <c r="W46" s="14"/>
      <c r="X46" s="14"/>
      <c r="Y46" s="14"/>
      <c r="Z46" s="15"/>
      <c r="AA46" s="14"/>
      <c r="AB46" s="14"/>
      <c r="AC46" s="14"/>
      <c r="AD46" s="14"/>
    </row>
    <row r="47" ht="15.75" customHeight="1">
      <c r="A47" s="13" t="str">
        <f t="shared" si="1"/>
        <v/>
      </c>
      <c r="B47" s="14"/>
      <c r="C47" s="14"/>
      <c r="D47" s="14"/>
      <c r="E47" s="15"/>
      <c r="F47" s="15"/>
      <c r="G47" s="14"/>
      <c r="H47" s="15"/>
      <c r="I47" s="14"/>
      <c r="J47" s="14"/>
      <c r="K47" s="14"/>
      <c r="L47" s="14"/>
      <c r="M47" s="14"/>
      <c r="N47" s="14"/>
      <c r="O47" s="15"/>
      <c r="P47" s="14"/>
      <c r="Q47" s="14"/>
      <c r="R47" s="14"/>
      <c r="S47" s="14"/>
      <c r="T47" s="13" t="str">
        <f t="shared" si="2"/>
        <v/>
      </c>
      <c r="U47" s="13" t="str">
        <f t="shared" si="3"/>
        <v/>
      </c>
      <c r="V47" s="13" t="str">
        <f t="shared" si="4"/>
        <v/>
      </c>
      <c r="W47" s="14"/>
      <c r="X47" s="14"/>
      <c r="Y47" s="14"/>
      <c r="Z47" s="15"/>
      <c r="AA47" s="14"/>
      <c r="AB47" s="14"/>
      <c r="AC47" s="14"/>
      <c r="AD47" s="14"/>
    </row>
    <row r="48" ht="15.75" customHeight="1">
      <c r="A48" s="13" t="str">
        <f t="shared" si="1"/>
        <v/>
      </c>
      <c r="B48" s="14"/>
      <c r="C48" s="14"/>
      <c r="D48" s="14"/>
      <c r="E48" s="15"/>
      <c r="F48" s="15"/>
      <c r="G48" s="14"/>
      <c r="H48" s="15"/>
      <c r="I48" s="14"/>
      <c r="J48" s="14"/>
      <c r="K48" s="14"/>
      <c r="L48" s="14"/>
      <c r="M48" s="14"/>
      <c r="N48" s="14"/>
      <c r="O48" s="15"/>
      <c r="P48" s="14"/>
      <c r="Q48" s="14"/>
      <c r="R48" s="14"/>
      <c r="S48" s="14"/>
      <c r="T48" s="13" t="str">
        <f t="shared" si="2"/>
        <v/>
      </c>
      <c r="U48" s="13" t="str">
        <f t="shared" si="3"/>
        <v/>
      </c>
      <c r="V48" s="13" t="str">
        <f t="shared" si="4"/>
        <v/>
      </c>
      <c r="W48" s="14"/>
      <c r="X48" s="14"/>
      <c r="Y48" s="14"/>
      <c r="Z48" s="15"/>
      <c r="AA48" s="14"/>
      <c r="AB48" s="14"/>
      <c r="AC48" s="14"/>
      <c r="AD48" s="14"/>
    </row>
    <row r="49" ht="15.75" customHeight="1">
      <c r="A49" s="13" t="str">
        <f t="shared" si="1"/>
        <v/>
      </c>
      <c r="B49" s="14"/>
      <c r="C49" s="14"/>
      <c r="D49" s="14"/>
      <c r="E49" s="15"/>
      <c r="F49" s="15"/>
      <c r="G49" s="14"/>
      <c r="H49" s="15"/>
      <c r="I49" s="14"/>
      <c r="J49" s="14"/>
      <c r="K49" s="14"/>
      <c r="L49" s="14"/>
      <c r="M49" s="14"/>
      <c r="N49" s="14"/>
      <c r="O49" s="15"/>
      <c r="P49" s="14"/>
      <c r="Q49" s="14"/>
      <c r="R49" s="14"/>
      <c r="S49" s="14"/>
      <c r="T49" s="13" t="str">
        <f t="shared" si="2"/>
        <v/>
      </c>
      <c r="U49" s="13" t="str">
        <f t="shared" si="3"/>
        <v/>
      </c>
      <c r="V49" s="13" t="str">
        <f t="shared" si="4"/>
        <v/>
      </c>
      <c r="W49" s="14"/>
      <c r="X49" s="14"/>
      <c r="Y49" s="14"/>
      <c r="Z49" s="15"/>
      <c r="AA49" s="14"/>
      <c r="AB49" s="14"/>
      <c r="AC49" s="14"/>
      <c r="AD49" s="14"/>
    </row>
    <row r="50" ht="15.75" customHeight="1">
      <c r="A50" s="13" t="str">
        <f t="shared" si="1"/>
        <v/>
      </c>
      <c r="B50" s="14"/>
      <c r="C50" s="14"/>
      <c r="D50" s="14"/>
      <c r="E50" s="15"/>
      <c r="F50" s="15"/>
      <c r="G50" s="14"/>
      <c r="H50" s="15"/>
      <c r="I50" s="14"/>
      <c r="J50" s="14"/>
      <c r="K50" s="14"/>
      <c r="L50" s="14"/>
      <c r="M50" s="14"/>
      <c r="N50" s="14"/>
      <c r="O50" s="15"/>
      <c r="P50" s="14"/>
      <c r="Q50" s="14"/>
      <c r="R50" s="14"/>
      <c r="S50" s="14"/>
      <c r="T50" s="13" t="str">
        <f t="shared" si="2"/>
        <v/>
      </c>
      <c r="U50" s="13" t="str">
        <f t="shared" si="3"/>
        <v/>
      </c>
      <c r="V50" s="13" t="str">
        <f t="shared" si="4"/>
        <v/>
      </c>
      <c r="W50" s="14"/>
      <c r="X50" s="14"/>
      <c r="Y50" s="14"/>
      <c r="Z50" s="15"/>
      <c r="AA50" s="14"/>
      <c r="AB50" s="14"/>
      <c r="AC50" s="14"/>
      <c r="AD50" s="14"/>
    </row>
    <row r="51" ht="15.75" customHeight="1">
      <c r="A51" s="13" t="str">
        <f t="shared" si="1"/>
        <v/>
      </c>
      <c r="B51" s="14"/>
      <c r="C51" s="14"/>
      <c r="D51" s="14"/>
      <c r="E51" s="15"/>
      <c r="F51" s="15"/>
      <c r="G51" s="14"/>
      <c r="H51" s="15"/>
      <c r="I51" s="14"/>
      <c r="J51" s="14"/>
      <c r="K51" s="14"/>
      <c r="L51" s="14"/>
      <c r="M51" s="14"/>
      <c r="N51" s="14"/>
      <c r="O51" s="15"/>
      <c r="P51" s="14"/>
      <c r="Q51" s="14"/>
      <c r="R51" s="14"/>
      <c r="S51" s="14"/>
      <c r="T51" s="13" t="str">
        <f t="shared" si="2"/>
        <v/>
      </c>
      <c r="U51" s="13" t="str">
        <f t="shared" si="3"/>
        <v/>
      </c>
      <c r="V51" s="13" t="str">
        <f t="shared" si="4"/>
        <v/>
      </c>
      <c r="W51" s="14"/>
      <c r="X51" s="14"/>
      <c r="Y51" s="14"/>
      <c r="Z51" s="15"/>
      <c r="AA51" s="14"/>
      <c r="AB51" s="14"/>
      <c r="AC51" s="14"/>
      <c r="AD51" s="14"/>
    </row>
    <row r="52" ht="15.75" customHeight="1">
      <c r="A52" s="13" t="str">
        <f t="shared" si="1"/>
        <v/>
      </c>
      <c r="B52" s="14"/>
      <c r="C52" s="14"/>
      <c r="D52" s="14"/>
      <c r="E52" s="15"/>
      <c r="F52" s="15"/>
      <c r="G52" s="14"/>
      <c r="H52" s="15"/>
      <c r="I52" s="14"/>
      <c r="J52" s="14"/>
      <c r="K52" s="14"/>
      <c r="L52" s="14"/>
      <c r="M52" s="14"/>
      <c r="N52" s="14"/>
      <c r="O52" s="15"/>
      <c r="P52" s="14"/>
      <c r="Q52" s="14"/>
      <c r="R52" s="14"/>
      <c r="S52" s="14"/>
      <c r="T52" s="13" t="str">
        <f t="shared" si="2"/>
        <v/>
      </c>
      <c r="U52" s="13" t="str">
        <f t="shared" si="3"/>
        <v/>
      </c>
      <c r="V52" s="13" t="str">
        <f t="shared" si="4"/>
        <v/>
      </c>
      <c r="W52" s="14"/>
      <c r="X52" s="14"/>
      <c r="Y52" s="14"/>
      <c r="Z52" s="15"/>
      <c r="AA52" s="14"/>
      <c r="AB52" s="14"/>
      <c r="AC52" s="14"/>
      <c r="AD52" s="14"/>
    </row>
    <row r="53" ht="15.75" customHeight="1">
      <c r="A53" s="13" t="str">
        <f t="shared" si="1"/>
        <v/>
      </c>
      <c r="B53" s="14"/>
      <c r="C53" s="14"/>
      <c r="D53" s="14"/>
      <c r="E53" s="15"/>
      <c r="F53" s="15"/>
      <c r="G53" s="14"/>
      <c r="H53" s="15"/>
      <c r="I53" s="14"/>
      <c r="J53" s="14"/>
      <c r="K53" s="14"/>
      <c r="L53" s="14"/>
      <c r="M53" s="14"/>
      <c r="N53" s="14"/>
      <c r="O53" s="15"/>
      <c r="P53" s="14"/>
      <c r="Q53" s="14"/>
      <c r="R53" s="14"/>
      <c r="S53" s="14"/>
      <c r="T53" s="13" t="str">
        <f t="shared" si="2"/>
        <v/>
      </c>
      <c r="U53" s="13" t="str">
        <f t="shared" si="3"/>
        <v/>
      </c>
      <c r="V53" s="13" t="str">
        <f t="shared" si="4"/>
        <v/>
      </c>
      <c r="W53" s="14"/>
      <c r="X53" s="14"/>
      <c r="Y53" s="14"/>
      <c r="Z53" s="15"/>
      <c r="AA53" s="14"/>
      <c r="AB53" s="14"/>
      <c r="AC53" s="14"/>
      <c r="AD53" s="14"/>
    </row>
    <row r="54" ht="15.75" customHeight="1">
      <c r="A54" s="13" t="str">
        <f t="shared" si="1"/>
        <v/>
      </c>
      <c r="B54" s="14"/>
      <c r="C54" s="14"/>
      <c r="D54" s="14"/>
      <c r="E54" s="15"/>
      <c r="F54" s="15"/>
      <c r="G54" s="14"/>
      <c r="H54" s="15"/>
      <c r="I54" s="14"/>
      <c r="J54" s="14"/>
      <c r="K54" s="14"/>
      <c r="L54" s="14"/>
      <c r="M54" s="14"/>
      <c r="N54" s="14"/>
      <c r="O54" s="15"/>
      <c r="P54" s="14"/>
      <c r="Q54" s="14"/>
      <c r="R54" s="14"/>
      <c r="S54" s="14"/>
      <c r="T54" s="13" t="str">
        <f t="shared" si="2"/>
        <v/>
      </c>
      <c r="U54" s="13" t="str">
        <f t="shared" si="3"/>
        <v/>
      </c>
      <c r="V54" s="13" t="str">
        <f t="shared" si="4"/>
        <v/>
      </c>
      <c r="W54" s="14"/>
      <c r="X54" s="14"/>
      <c r="Y54" s="14"/>
      <c r="Z54" s="15"/>
      <c r="AA54" s="14"/>
      <c r="AB54" s="14"/>
      <c r="AC54" s="14"/>
      <c r="AD54" s="14"/>
    </row>
    <row r="55" ht="15.75" customHeight="1">
      <c r="A55" s="13" t="str">
        <f t="shared" si="1"/>
        <v/>
      </c>
      <c r="B55" s="14"/>
      <c r="C55" s="14"/>
      <c r="D55" s="14"/>
      <c r="E55" s="15"/>
      <c r="F55" s="15"/>
      <c r="G55" s="14"/>
      <c r="H55" s="15"/>
      <c r="I55" s="14"/>
      <c r="J55" s="14"/>
      <c r="K55" s="14"/>
      <c r="L55" s="14"/>
      <c r="M55" s="14"/>
      <c r="N55" s="14"/>
      <c r="O55" s="15"/>
      <c r="P55" s="14"/>
      <c r="Q55" s="14"/>
      <c r="R55" s="14"/>
      <c r="S55" s="14"/>
      <c r="T55" s="13" t="str">
        <f t="shared" si="2"/>
        <v/>
      </c>
      <c r="U55" s="13" t="str">
        <f t="shared" si="3"/>
        <v/>
      </c>
      <c r="V55" s="13" t="str">
        <f t="shared" si="4"/>
        <v/>
      </c>
      <c r="W55" s="14"/>
      <c r="X55" s="14"/>
      <c r="Y55" s="14"/>
      <c r="Z55" s="15"/>
      <c r="AA55" s="14"/>
      <c r="AB55" s="14"/>
      <c r="AC55" s="14"/>
      <c r="AD55" s="14"/>
    </row>
    <row r="56" ht="15.75" customHeight="1">
      <c r="A56" s="13" t="str">
        <f t="shared" si="1"/>
        <v/>
      </c>
      <c r="B56" s="14"/>
      <c r="C56" s="14"/>
      <c r="D56" s="14"/>
      <c r="E56" s="15"/>
      <c r="F56" s="15"/>
      <c r="G56" s="14"/>
      <c r="H56" s="15"/>
      <c r="I56" s="14"/>
      <c r="J56" s="14"/>
      <c r="K56" s="14"/>
      <c r="L56" s="14"/>
      <c r="M56" s="14"/>
      <c r="N56" s="14"/>
      <c r="O56" s="15"/>
      <c r="P56" s="14"/>
      <c r="Q56" s="14"/>
      <c r="R56" s="14"/>
      <c r="S56" s="14"/>
      <c r="T56" s="13" t="str">
        <f t="shared" si="2"/>
        <v/>
      </c>
      <c r="U56" s="13" t="str">
        <f t="shared" si="3"/>
        <v/>
      </c>
      <c r="V56" s="13" t="str">
        <f t="shared" si="4"/>
        <v/>
      </c>
      <c r="W56" s="14"/>
      <c r="X56" s="14"/>
      <c r="Y56" s="14"/>
      <c r="Z56" s="15"/>
      <c r="AA56" s="14"/>
      <c r="AB56" s="14"/>
      <c r="AC56" s="14"/>
      <c r="AD56" s="14"/>
    </row>
    <row r="57" ht="15.75" customHeight="1">
      <c r="A57" s="13" t="str">
        <f t="shared" si="1"/>
        <v/>
      </c>
      <c r="B57" s="14"/>
      <c r="C57" s="14"/>
      <c r="D57" s="14"/>
      <c r="E57" s="15"/>
      <c r="F57" s="15"/>
      <c r="G57" s="14"/>
      <c r="H57" s="15"/>
      <c r="I57" s="14"/>
      <c r="J57" s="14"/>
      <c r="K57" s="14"/>
      <c r="L57" s="14"/>
      <c r="M57" s="14"/>
      <c r="N57" s="14"/>
      <c r="O57" s="15"/>
      <c r="P57" s="14"/>
      <c r="Q57" s="14"/>
      <c r="R57" s="14"/>
      <c r="S57" s="14"/>
      <c r="T57" s="13" t="str">
        <f t="shared" si="2"/>
        <v/>
      </c>
      <c r="U57" s="13" t="str">
        <f t="shared" si="3"/>
        <v/>
      </c>
      <c r="V57" s="13" t="str">
        <f t="shared" si="4"/>
        <v/>
      </c>
      <c r="W57" s="14"/>
      <c r="X57" s="14"/>
      <c r="Y57" s="14"/>
      <c r="Z57" s="15"/>
      <c r="AA57" s="14"/>
      <c r="AB57" s="14"/>
      <c r="AC57" s="14"/>
      <c r="AD57" s="14"/>
    </row>
    <row r="58" ht="15.75" customHeight="1">
      <c r="A58" s="13" t="str">
        <f t="shared" si="1"/>
        <v/>
      </c>
      <c r="B58" s="14"/>
      <c r="C58" s="14"/>
      <c r="D58" s="14"/>
      <c r="E58" s="15"/>
      <c r="F58" s="15"/>
      <c r="G58" s="14"/>
      <c r="H58" s="15"/>
      <c r="I58" s="14"/>
      <c r="J58" s="14"/>
      <c r="K58" s="14"/>
      <c r="L58" s="14"/>
      <c r="M58" s="14"/>
      <c r="N58" s="14"/>
      <c r="O58" s="15"/>
      <c r="P58" s="14"/>
      <c r="Q58" s="14"/>
      <c r="R58" s="14"/>
      <c r="S58" s="14"/>
      <c r="T58" s="13" t="str">
        <f t="shared" si="2"/>
        <v/>
      </c>
      <c r="U58" s="13" t="str">
        <f t="shared" si="3"/>
        <v/>
      </c>
      <c r="V58" s="13" t="str">
        <f t="shared" si="4"/>
        <v/>
      </c>
      <c r="W58" s="14"/>
      <c r="X58" s="14"/>
      <c r="Y58" s="14"/>
      <c r="Z58" s="15"/>
      <c r="AA58" s="14"/>
      <c r="AB58" s="14"/>
      <c r="AC58" s="14"/>
      <c r="AD58" s="14"/>
    </row>
    <row r="59" ht="15.75" customHeight="1">
      <c r="A59" s="13" t="str">
        <f t="shared" si="1"/>
        <v/>
      </c>
      <c r="B59" s="14"/>
      <c r="C59" s="14"/>
      <c r="D59" s="14"/>
      <c r="E59" s="15"/>
      <c r="F59" s="15"/>
      <c r="G59" s="14"/>
      <c r="H59" s="15"/>
      <c r="I59" s="14"/>
      <c r="J59" s="14"/>
      <c r="K59" s="14"/>
      <c r="L59" s="14"/>
      <c r="M59" s="14"/>
      <c r="N59" s="14"/>
      <c r="O59" s="15"/>
      <c r="P59" s="14"/>
      <c r="Q59" s="14"/>
      <c r="R59" s="14"/>
      <c r="S59" s="14"/>
      <c r="T59" s="13" t="str">
        <f t="shared" si="2"/>
        <v/>
      </c>
      <c r="U59" s="13" t="str">
        <f t="shared" si="3"/>
        <v/>
      </c>
      <c r="V59" s="13" t="str">
        <f t="shared" si="4"/>
        <v/>
      </c>
      <c r="W59" s="14"/>
      <c r="X59" s="14"/>
      <c r="Y59" s="14"/>
      <c r="Z59" s="15"/>
      <c r="AA59" s="14"/>
      <c r="AB59" s="14"/>
      <c r="AC59" s="14"/>
      <c r="AD59" s="14"/>
    </row>
    <row r="60" ht="15.75" customHeight="1">
      <c r="A60" s="13" t="str">
        <f t="shared" si="1"/>
        <v/>
      </c>
      <c r="B60" s="14"/>
      <c r="C60" s="14"/>
      <c r="D60" s="14"/>
      <c r="E60" s="15"/>
      <c r="F60" s="15"/>
      <c r="G60" s="14"/>
      <c r="H60" s="15"/>
      <c r="I60" s="14"/>
      <c r="J60" s="14"/>
      <c r="K60" s="14"/>
      <c r="L60" s="14"/>
      <c r="M60" s="14"/>
      <c r="N60" s="14"/>
      <c r="O60" s="15"/>
      <c r="P60" s="14"/>
      <c r="Q60" s="14"/>
      <c r="R60" s="14"/>
      <c r="S60" s="14"/>
      <c r="T60" s="13" t="str">
        <f t="shared" si="2"/>
        <v/>
      </c>
      <c r="U60" s="13" t="str">
        <f t="shared" si="3"/>
        <v/>
      </c>
      <c r="V60" s="13" t="str">
        <f t="shared" si="4"/>
        <v/>
      </c>
      <c r="W60" s="14"/>
      <c r="X60" s="14"/>
      <c r="Y60" s="14"/>
      <c r="Z60" s="15"/>
      <c r="AA60" s="14"/>
      <c r="AB60" s="14"/>
      <c r="AC60" s="14"/>
      <c r="AD60" s="14"/>
    </row>
    <row r="61" ht="15.75" customHeight="1">
      <c r="A61" s="13" t="str">
        <f t="shared" si="1"/>
        <v/>
      </c>
      <c r="B61" s="14"/>
      <c r="C61" s="14"/>
      <c r="D61" s="14"/>
      <c r="E61" s="15"/>
      <c r="F61" s="15"/>
      <c r="G61" s="14"/>
      <c r="H61" s="15"/>
      <c r="I61" s="14"/>
      <c r="J61" s="14"/>
      <c r="K61" s="14"/>
      <c r="L61" s="14"/>
      <c r="M61" s="14"/>
      <c r="N61" s="14"/>
      <c r="O61" s="15"/>
      <c r="P61" s="14"/>
      <c r="Q61" s="14"/>
      <c r="R61" s="14"/>
      <c r="S61" s="14"/>
      <c r="T61" s="13" t="str">
        <f t="shared" si="2"/>
        <v/>
      </c>
      <c r="U61" s="13" t="str">
        <f t="shared" si="3"/>
        <v/>
      </c>
      <c r="V61" s="13" t="str">
        <f t="shared" si="4"/>
        <v/>
      </c>
      <c r="W61" s="14"/>
      <c r="X61" s="14"/>
      <c r="Y61" s="14"/>
      <c r="Z61" s="15"/>
      <c r="AA61" s="14"/>
      <c r="AB61" s="14"/>
      <c r="AC61" s="14"/>
      <c r="AD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O2:O61 Z2:Z61">
      <formula1>People_Roster!$A$2:$A$61</formula1>
    </dataValidation>
    <dataValidation type="list" allowBlank="1" showInputMessage="1" showErrorMessage="1" prompt="Invalid entry - Please choose a value from the dropdown list only." sqref="W2:W61">
      <formula1>Lists!$R$2:$R$6</formula1>
    </dataValidation>
    <dataValidation type="list" allowBlank="1" showInputMessage="1" showErrorMessage="1" prompt="Invalid ID - Please choose a valid studio_id from Studio_Master." sqref="F2:F61">
      <formula1>Studio_Master!$A$2:$A$61</formula1>
    </dataValidation>
    <dataValidation type="list" allowBlank="1" showInputMessage="1" showErrorMessage="1" prompt="Invalid entry - Please choose a value from the dropdown list only." sqref="R2:R61 AB2:AB61">
      <formula1>Lists!$B$2:$B$3</formula1>
    </dataValidation>
    <dataValidation type="list" allowBlank="1" showInputMessage="1" showErrorMessage="1" prompt="Invalid entry - Please choose a value from the dropdown list only." sqref="S2:S61">
      <formula1>Lists!$W$2:$W$3</formula1>
    </dataValidation>
    <dataValidation type="list" allowBlank="1" showInputMessage="1" showErrorMessage="1" prompt="Invalid ID - Please choose a valid demand_id from Enterprise_Demand." sqref="H2:H61">
      <formula1>Enterprise_Demand!$A$2:$A$61</formula1>
    </dataValidation>
    <dataValidation type="list" allowBlank="1" showInputMessage="1" showErrorMessage="1" prompt="Invalid entry - Please choose a value from the dropdown list only." sqref="B2:B61">
      <formula1>Lists!$P$2:$P$7</formula1>
    </dataValidation>
    <dataValidation type="list" allowBlank="1" showInputMessage="1" showErrorMessage="1" prompt="Invalid ID - Please choose a valid theatre_id from Theatre_Master." sqref="E2:E61">
      <formula1>Theatre_Master!$A$2:$A$61</formula1>
    </dataValidation>
    <dataValidation type="list" allowBlank="1" showInputMessage="1" showErrorMessage="1" prompt="Invalid entry - Please choose a value from the dropdown list only." sqref="M2:M61">
      <formula1>Lists!$Q$2:$Q$4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9" width="22.0"/>
  </cols>
  <sheetData>
    <row r="1" ht="30.0" customHeight="1">
      <c r="A1" s="5" t="s">
        <v>321</v>
      </c>
      <c r="B1" s="5" t="s">
        <v>299</v>
      </c>
      <c r="C1" s="5" t="s">
        <v>322</v>
      </c>
      <c r="D1" s="5" t="s">
        <v>323</v>
      </c>
      <c r="E1" s="5" t="s">
        <v>324</v>
      </c>
      <c r="F1" s="5" t="s">
        <v>325</v>
      </c>
      <c r="G1" s="5" t="s">
        <v>326</v>
      </c>
      <c r="H1" s="5" t="s">
        <v>327</v>
      </c>
      <c r="I1" s="5" t="s">
        <v>257</v>
      </c>
      <c r="J1" s="5" t="s">
        <v>309</v>
      </c>
      <c r="K1" s="5" t="s">
        <v>328</v>
      </c>
      <c r="L1" s="5" t="s">
        <v>329</v>
      </c>
      <c r="M1" s="5" t="s">
        <v>315</v>
      </c>
      <c r="N1" s="5" t="s">
        <v>330</v>
      </c>
      <c r="O1" s="5" t="s">
        <v>331</v>
      </c>
      <c r="P1" s="5" t="s">
        <v>85</v>
      </c>
      <c r="Q1" s="5" t="s">
        <v>332</v>
      </c>
      <c r="R1" s="5" t="s">
        <v>333</v>
      </c>
      <c r="S1" s="5" t="s">
        <v>334</v>
      </c>
      <c r="T1" s="5" t="s">
        <v>335</v>
      </c>
      <c r="U1" s="5" t="s">
        <v>270</v>
      </c>
      <c r="V1" s="5" t="s">
        <v>271</v>
      </c>
      <c r="W1" s="5" t="s">
        <v>336</v>
      </c>
      <c r="X1" s="5" t="s">
        <v>337</v>
      </c>
      <c r="Y1" s="5" t="s">
        <v>338</v>
      </c>
      <c r="Z1" s="5" t="s">
        <v>339</v>
      </c>
      <c r="AA1" s="5" t="s">
        <v>340</v>
      </c>
      <c r="AB1" s="5" t="s">
        <v>262</v>
      </c>
      <c r="AC1" s="5" t="s">
        <v>156</v>
      </c>
    </row>
    <row r="2">
      <c r="A2" s="13" t="str">
        <f t="shared" ref="A2:A61" si="1">IF($B2="","","ACTN-"&amp;TEXT(ROW()-1,"000"))</f>
        <v/>
      </c>
      <c r="B2" s="15"/>
      <c r="C2" s="14"/>
      <c r="D2" s="14"/>
      <c r="E2" s="14"/>
      <c r="F2" s="14"/>
      <c r="G2" s="14"/>
      <c r="H2" s="14"/>
      <c r="I2" s="15"/>
      <c r="J2" s="14"/>
      <c r="K2" s="14"/>
      <c r="L2" s="14"/>
      <c r="M2" s="14"/>
      <c r="N2" s="14"/>
      <c r="O2" s="14"/>
      <c r="P2" s="15"/>
      <c r="Q2" s="14"/>
      <c r="R2" s="14"/>
      <c r="S2" s="14"/>
      <c r="T2" s="15"/>
      <c r="U2" s="14"/>
      <c r="V2" s="15"/>
      <c r="W2" s="14"/>
      <c r="X2" s="14"/>
      <c r="Y2" s="14"/>
      <c r="Z2" s="14"/>
      <c r="AA2" s="14"/>
      <c r="AB2" s="14"/>
      <c r="AC2" s="14"/>
    </row>
    <row r="3">
      <c r="A3" s="13" t="str">
        <f t="shared" si="1"/>
        <v/>
      </c>
      <c r="B3" s="15"/>
      <c r="C3" s="14"/>
      <c r="D3" s="14"/>
      <c r="E3" s="14"/>
      <c r="F3" s="14"/>
      <c r="G3" s="14"/>
      <c r="H3" s="14"/>
      <c r="I3" s="15"/>
      <c r="J3" s="14"/>
      <c r="K3" s="14"/>
      <c r="L3" s="14"/>
      <c r="M3" s="14"/>
      <c r="N3" s="14"/>
      <c r="O3" s="14"/>
      <c r="P3" s="15"/>
      <c r="Q3" s="14"/>
      <c r="R3" s="14"/>
      <c r="S3" s="14"/>
      <c r="T3" s="15"/>
      <c r="U3" s="14"/>
      <c r="V3" s="15"/>
      <c r="W3" s="14"/>
      <c r="X3" s="14"/>
      <c r="Y3" s="14"/>
      <c r="Z3" s="14"/>
      <c r="AA3" s="14"/>
      <c r="AB3" s="14"/>
      <c r="AC3" s="14"/>
    </row>
    <row r="4">
      <c r="A4" s="13" t="str">
        <f t="shared" si="1"/>
        <v/>
      </c>
      <c r="B4" s="15"/>
      <c r="C4" s="14"/>
      <c r="D4" s="14"/>
      <c r="E4" s="14"/>
      <c r="F4" s="14"/>
      <c r="G4" s="14"/>
      <c r="H4" s="14"/>
      <c r="I4" s="15"/>
      <c r="J4" s="14"/>
      <c r="K4" s="14"/>
      <c r="L4" s="14"/>
      <c r="M4" s="14"/>
      <c r="N4" s="14"/>
      <c r="O4" s="14"/>
      <c r="P4" s="15"/>
      <c r="Q4" s="14"/>
      <c r="R4" s="14"/>
      <c r="S4" s="14"/>
      <c r="T4" s="15"/>
      <c r="U4" s="14"/>
      <c r="V4" s="15"/>
      <c r="W4" s="14"/>
      <c r="X4" s="14"/>
      <c r="Y4" s="14"/>
      <c r="Z4" s="14"/>
      <c r="AA4" s="14"/>
      <c r="AB4" s="14"/>
      <c r="AC4" s="14"/>
    </row>
    <row r="5">
      <c r="A5" s="13" t="str">
        <f t="shared" si="1"/>
        <v/>
      </c>
      <c r="B5" s="15"/>
      <c r="C5" s="14"/>
      <c r="D5" s="14"/>
      <c r="E5" s="14"/>
      <c r="F5" s="14"/>
      <c r="G5" s="14"/>
      <c r="H5" s="14"/>
      <c r="I5" s="15"/>
      <c r="J5" s="14"/>
      <c r="K5" s="14"/>
      <c r="L5" s="14"/>
      <c r="M5" s="14"/>
      <c r="N5" s="14"/>
      <c r="O5" s="14"/>
      <c r="P5" s="15"/>
      <c r="Q5" s="14"/>
      <c r="R5" s="14"/>
      <c r="S5" s="14"/>
      <c r="T5" s="15"/>
      <c r="U5" s="14"/>
      <c r="V5" s="15"/>
      <c r="W5" s="14"/>
      <c r="X5" s="14"/>
      <c r="Y5" s="14"/>
      <c r="Z5" s="14"/>
      <c r="AA5" s="14"/>
      <c r="AB5" s="14"/>
      <c r="AC5" s="14"/>
    </row>
    <row r="6">
      <c r="A6" s="13" t="str">
        <f t="shared" si="1"/>
        <v/>
      </c>
      <c r="B6" s="15"/>
      <c r="C6" s="14"/>
      <c r="D6" s="14"/>
      <c r="E6" s="14"/>
      <c r="F6" s="14"/>
      <c r="G6" s="14"/>
      <c r="H6" s="14"/>
      <c r="I6" s="15"/>
      <c r="J6" s="14"/>
      <c r="K6" s="14"/>
      <c r="L6" s="14"/>
      <c r="M6" s="14"/>
      <c r="N6" s="14"/>
      <c r="O6" s="14"/>
      <c r="P6" s="15"/>
      <c r="Q6" s="14"/>
      <c r="R6" s="14"/>
      <c r="S6" s="14"/>
      <c r="T6" s="15"/>
      <c r="U6" s="14"/>
      <c r="V6" s="15"/>
      <c r="W6" s="14"/>
      <c r="X6" s="14"/>
      <c r="Y6" s="14"/>
      <c r="Z6" s="14"/>
      <c r="AA6" s="14"/>
      <c r="AB6" s="14"/>
      <c r="AC6" s="14"/>
    </row>
    <row r="7">
      <c r="A7" s="13" t="str">
        <f t="shared" si="1"/>
        <v/>
      </c>
      <c r="B7" s="15"/>
      <c r="C7" s="14"/>
      <c r="D7" s="14"/>
      <c r="E7" s="14"/>
      <c r="F7" s="14"/>
      <c r="G7" s="14"/>
      <c r="H7" s="14"/>
      <c r="I7" s="15"/>
      <c r="J7" s="14"/>
      <c r="K7" s="14"/>
      <c r="L7" s="14"/>
      <c r="M7" s="14"/>
      <c r="N7" s="14"/>
      <c r="O7" s="14"/>
      <c r="P7" s="15"/>
      <c r="Q7" s="14"/>
      <c r="R7" s="14"/>
      <c r="S7" s="14"/>
      <c r="T7" s="15"/>
      <c r="U7" s="14"/>
      <c r="V7" s="15"/>
      <c r="W7" s="14"/>
      <c r="X7" s="14"/>
      <c r="Y7" s="14"/>
      <c r="Z7" s="14"/>
      <c r="AA7" s="14"/>
      <c r="AB7" s="14"/>
      <c r="AC7" s="14"/>
    </row>
    <row r="8">
      <c r="A8" s="13" t="str">
        <f t="shared" si="1"/>
        <v/>
      </c>
      <c r="B8" s="15"/>
      <c r="C8" s="14"/>
      <c r="D8" s="14"/>
      <c r="E8" s="14"/>
      <c r="F8" s="14"/>
      <c r="G8" s="14"/>
      <c r="H8" s="14"/>
      <c r="I8" s="15"/>
      <c r="J8" s="14"/>
      <c r="K8" s="14"/>
      <c r="L8" s="14"/>
      <c r="M8" s="14"/>
      <c r="N8" s="14"/>
      <c r="O8" s="14"/>
      <c r="P8" s="15"/>
      <c r="Q8" s="14"/>
      <c r="R8" s="14"/>
      <c r="S8" s="14"/>
      <c r="T8" s="15"/>
      <c r="U8" s="14"/>
      <c r="V8" s="15"/>
      <c r="W8" s="14"/>
      <c r="X8" s="14"/>
      <c r="Y8" s="14"/>
      <c r="Z8" s="14"/>
      <c r="AA8" s="14"/>
      <c r="AB8" s="14"/>
      <c r="AC8" s="14"/>
    </row>
    <row r="9">
      <c r="A9" s="13" t="str">
        <f t="shared" si="1"/>
        <v/>
      </c>
      <c r="B9" s="15"/>
      <c r="C9" s="14"/>
      <c r="D9" s="14"/>
      <c r="E9" s="14"/>
      <c r="F9" s="14"/>
      <c r="G9" s="14"/>
      <c r="H9" s="14"/>
      <c r="I9" s="15"/>
      <c r="J9" s="14"/>
      <c r="K9" s="14"/>
      <c r="L9" s="14"/>
      <c r="M9" s="14"/>
      <c r="N9" s="14"/>
      <c r="O9" s="14"/>
      <c r="P9" s="15"/>
      <c r="Q9" s="14"/>
      <c r="R9" s="14"/>
      <c r="S9" s="14"/>
      <c r="T9" s="15"/>
      <c r="U9" s="14"/>
      <c r="V9" s="15"/>
      <c r="W9" s="14"/>
      <c r="X9" s="14"/>
      <c r="Y9" s="14"/>
      <c r="Z9" s="14"/>
      <c r="AA9" s="14"/>
      <c r="AB9" s="14"/>
      <c r="AC9" s="14"/>
    </row>
    <row r="10">
      <c r="A10" s="13" t="str">
        <f t="shared" si="1"/>
        <v/>
      </c>
      <c r="B10" s="15"/>
      <c r="C10" s="14"/>
      <c r="D10" s="14"/>
      <c r="E10" s="14"/>
      <c r="F10" s="14"/>
      <c r="G10" s="14"/>
      <c r="H10" s="14"/>
      <c r="I10" s="15"/>
      <c r="J10" s="14"/>
      <c r="K10" s="14"/>
      <c r="L10" s="14"/>
      <c r="M10" s="14"/>
      <c r="N10" s="14"/>
      <c r="O10" s="14"/>
      <c r="P10" s="15"/>
      <c r="Q10" s="14"/>
      <c r="R10" s="14"/>
      <c r="S10" s="14"/>
      <c r="T10" s="15"/>
      <c r="U10" s="14"/>
      <c r="V10" s="15"/>
      <c r="W10" s="14"/>
      <c r="X10" s="14"/>
      <c r="Y10" s="14"/>
      <c r="Z10" s="14"/>
      <c r="AA10" s="14"/>
      <c r="AB10" s="14"/>
      <c r="AC10" s="14"/>
    </row>
    <row r="11">
      <c r="A11" s="13" t="str">
        <f t="shared" si="1"/>
        <v/>
      </c>
      <c r="B11" s="15"/>
      <c r="C11" s="14"/>
      <c r="D11" s="14"/>
      <c r="E11" s="14"/>
      <c r="F11" s="14"/>
      <c r="G11" s="14"/>
      <c r="H11" s="14"/>
      <c r="I11" s="15"/>
      <c r="J11" s="14"/>
      <c r="K11" s="14"/>
      <c r="L11" s="14"/>
      <c r="M11" s="14"/>
      <c r="N11" s="14"/>
      <c r="O11" s="14"/>
      <c r="P11" s="15"/>
      <c r="Q11" s="14"/>
      <c r="R11" s="14"/>
      <c r="S11" s="14"/>
      <c r="T11" s="15"/>
      <c r="U11" s="14"/>
      <c r="V11" s="15"/>
      <c r="W11" s="14"/>
      <c r="X11" s="14"/>
      <c r="Y11" s="14"/>
      <c r="Z11" s="14"/>
      <c r="AA11" s="14"/>
      <c r="AB11" s="14"/>
      <c r="AC11" s="14"/>
    </row>
    <row r="12">
      <c r="A12" s="13" t="str">
        <f t="shared" si="1"/>
        <v/>
      </c>
      <c r="B12" s="15"/>
      <c r="C12" s="14"/>
      <c r="D12" s="14"/>
      <c r="E12" s="14"/>
      <c r="F12" s="14"/>
      <c r="G12" s="14"/>
      <c r="H12" s="14"/>
      <c r="I12" s="15"/>
      <c r="J12" s="14"/>
      <c r="K12" s="14"/>
      <c r="L12" s="14"/>
      <c r="M12" s="14"/>
      <c r="N12" s="14"/>
      <c r="O12" s="14"/>
      <c r="P12" s="15"/>
      <c r="Q12" s="14"/>
      <c r="R12" s="14"/>
      <c r="S12" s="14"/>
      <c r="T12" s="15"/>
      <c r="U12" s="14"/>
      <c r="V12" s="15"/>
      <c r="W12" s="14"/>
      <c r="X12" s="14"/>
      <c r="Y12" s="14"/>
      <c r="Z12" s="14"/>
      <c r="AA12" s="14"/>
      <c r="AB12" s="14"/>
      <c r="AC12" s="14"/>
    </row>
    <row r="13">
      <c r="A13" s="13" t="str">
        <f t="shared" si="1"/>
        <v/>
      </c>
      <c r="B13" s="15"/>
      <c r="C13" s="14"/>
      <c r="D13" s="14"/>
      <c r="E13" s="14"/>
      <c r="F13" s="14"/>
      <c r="G13" s="14"/>
      <c r="H13" s="14"/>
      <c r="I13" s="15"/>
      <c r="J13" s="14"/>
      <c r="K13" s="14"/>
      <c r="L13" s="14"/>
      <c r="M13" s="14"/>
      <c r="N13" s="14"/>
      <c r="O13" s="14"/>
      <c r="P13" s="15"/>
      <c r="Q13" s="14"/>
      <c r="R13" s="14"/>
      <c r="S13" s="14"/>
      <c r="T13" s="15"/>
      <c r="U13" s="14"/>
      <c r="V13" s="15"/>
      <c r="W13" s="14"/>
      <c r="X13" s="14"/>
      <c r="Y13" s="14"/>
      <c r="Z13" s="14"/>
      <c r="AA13" s="14"/>
      <c r="AB13" s="14"/>
      <c r="AC13" s="14"/>
    </row>
    <row r="14">
      <c r="A14" s="13" t="str">
        <f t="shared" si="1"/>
        <v/>
      </c>
      <c r="B14" s="15"/>
      <c r="C14" s="14"/>
      <c r="D14" s="14"/>
      <c r="E14" s="14"/>
      <c r="F14" s="14"/>
      <c r="G14" s="14"/>
      <c r="H14" s="14"/>
      <c r="I14" s="15"/>
      <c r="J14" s="14"/>
      <c r="K14" s="14"/>
      <c r="L14" s="14"/>
      <c r="M14" s="14"/>
      <c r="N14" s="14"/>
      <c r="O14" s="14"/>
      <c r="P14" s="15"/>
      <c r="Q14" s="14"/>
      <c r="R14" s="14"/>
      <c r="S14" s="14"/>
      <c r="T14" s="15"/>
      <c r="U14" s="14"/>
      <c r="V14" s="15"/>
      <c r="W14" s="14"/>
      <c r="X14" s="14"/>
      <c r="Y14" s="14"/>
      <c r="Z14" s="14"/>
      <c r="AA14" s="14"/>
      <c r="AB14" s="14"/>
      <c r="AC14" s="14"/>
    </row>
    <row r="15">
      <c r="A15" s="13" t="str">
        <f t="shared" si="1"/>
        <v/>
      </c>
      <c r="B15" s="15"/>
      <c r="C15" s="14"/>
      <c r="D15" s="14"/>
      <c r="E15" s="14"/>
      <c r="F15" s="14"/>
      <c r="G15" s="14"/>
      <c r="H15" s="14"/>
      <c r="I15" s="15"/>
      <c r="J15" s="14"/>
      <c r="K15" s="14"/>
      <c r="L15" s="14"/>
      <c r="M15" s="14"/>
      <c r="N15" s="14"/>
      <c r="O15" s="14"/>
      <c r="P15" s="15"/>
      <c r="Q15" s="14"/>
      <c r="R15" s="14"/>
      <c r="S15" s="14"/>
      <c r="T15" s="15"/>
      <c r="U15" s="14"/>
      <c r="V15" s="15"/>
      <c r="W15" s="14"/>
      <c r="X15" s="14"/>
      <c r="Y15" s="14"/>
      <c r="Z15" s="14"/>
      <c r="AA15" s="14"/>
      <c r="AB15" s="14"/>
      <c r="AC15" s="14"/>
    </row>
    <row r="16">
      <c r="A16" s="13" t="str">
        <f t="shared" si="1"/>
        <v/>
      </c>
      <c r="B16" s="15"/>
      <c r="C16" s="14"/>
      <c r="D16" s="14"/>
      <c r="E16" s="14"/>
      <c r="F16" s="14"/>
      <c r="G16" s="14"/>
      <c r="H16" s="14"/>
      <c r="I16" s="15"/>
      <c r="J16" s="14"/>
      <c r="K16" s="14"/>
      <c r="L16" s="14"/>
      <c r="M16" s="14"/>
      <c r="N16" s="14"/>
      <c r="O16" s="14"/>
      <c r="P16" s="15"/>
      <c r="Q16" s="14"/>
      <c r="R16" s="14"/>
      <c r="S16" s="14"/>
      <c r="T16" s="15"/>
      <c r="U16" s="14"/>
      <c r="V16" s="15"/>
      <c r="W16" s="14"/>
      <c r="X16" s="14"/>
      <c r="Y16" s="14"/>
      <c r="Z16" s="14"/>
      <c r="AA16" s="14"/>
      <c r="AB16" s="14"/>
      <c r="AC16" s="14"/>
    </row>
    <row r="17">
      <c r="A17" s="13" t="str">
        <f t="shared" si="1"/>
        <v/>
      </c>
      <c r="B17" s="15"/>
      <c r="C17" s="14"/>
      <c r="D17" s="14"/>
      <c r="E17" s="14"/>
      <c r="F17" s="14"/>
      <c r="G17" s="14"/>
      <c r="H17" s="14"/>
      <c r="I17" s="15"/>
      <c r="J17" s="14"/>
      <c r="K17" s="14"/>
      <c r="L17" s="14"/>
      <c r="M17" s="14"/>
      <c r="N17" s="14"/>
      <c r="O17" s="14"/>
      <c r="P17" s="15"/>
      <c r="Q17" s="14"/>
      <c r="R17" s="14"/>
      <c r="S17" s="14"/>
      <c r="T17" s="15"/>
      <c r="U17" s="14"/>
      <c r="V17" s="15"/>
      <c r="W17" s="14"/>
      <c r="X17" s="14"/>
      <c r="Y17" s="14"/>
      <c r="Z17" s="14"/>
      <c r="AA17" s="14"/>
      <c r="AB17" s="14"/>
      <c r="AC17" s="14"/>
    </row>
    <row r="18">
      <c r="A18" s="13" t="str">
        <f t="shared" si="1"/>
        <v/>
      </c>
      <c r="B18" s="15"/>
      <c r="C18" s="14"/>
      <c r="D18" s="14"/>
      <c r="E18" s="14"/>
      <c r="F18" s="14"/>
      <c r="G18" s="14"/>
      <c r="H18" s="14"/>
      <c r="I18" s="15"/>
      <c r="J18" s="14"/>
      <c r="K18" s="14"/>
      <c r="L18" s="14"/>
      <c r="M18" s="14"/>
      <c r="N18" s="14"/>
      <c r="O18" s="14"/>
      <c r="P18" s="15"/>
      <c r="Q18" s="14"/>
      <c r="R18" s="14"/>
      <c r="S18" s="14"/>
      <c r="T18" s="15"/>
      <c r="U18" s="14"/>
      <c r="V18" s="15"/>
      <c r="W18" s="14"/>
      <c r="X18" s="14"/>
      <c r="Y18" s="14"/>
      <c r="Z18" s="14"/>
      <c r="AA18" s="14"/>
      <c r="AB18" s="14"/>
      <c r="AC18" s="14"/>
    </row>
    <row r="19">
      <c r="A19" s="13" t="str">
        <f t="shared" si="1"/>
        <v/>
      </c>
      <c r="B19" s="15"/>
      <c r="C19" s="14"/>
      <c r="D19" s="14"/>
      <c r="E19" s="14"/>
      <c r="F19" s="14"/>
      <c r="G19" s="14"/>
      <c r="H19" s="14"/>
      <c r="I19" s="15"/>
      <c r="J19" s="14"/>
      <c r="K19" s="14"/>
      <c r="L19" s="14"/>
      <c r="M19" s="14"/>
      <c r="N19" s="14"/>
      <c r="O19" s="14"/>
      <c r="P19" s="15"/>
      <c r="Q19" s="14"/>
      <c r="R19" s="14"/>
      <c r="S19" s="14"/>
      <c r="T19" s="15"/>
      <c r="U19" s="14"/>
      <c r="V19" s="15"/>
      <c r="W19" s="14"/>
      <c r="X19" s="14"/>
      <c r="Y19" s="14"/>
      <c r="Z19" s="14"/>
      <c r="AA19" s="14"/>
      <c r="AB19" s="14"/>
      <c r="AC19" s="14"/>
    </row>
    <row r="20">
      <c r="A20" s="13" t="str">
        <f t="shared" si="1"/>
        <v/>
      </c>
      <c r="B20" s="15"/>
      <c r="C20" s="14"/>
      <c r="D20" s="14"/>
      <c r="E20" s="14"/>
      <c r="F20" s="14"/>
      <c r="G20" s="14"/>
      <c r="H20" s="14"/>
      <c r="I20" s="15"/>
      <c r="J20" s="14"/>
      <c r="K20" s="14"/>
      <c r="L20" s="14"/>
      <c r="M20" s="14"/>
      <c r="N20" s="14"/>
      <c r="O20" s="14"/>
      <c r="P20" s="15"/>
      <c r="Q20" s="14"/>
      <c r="R20" s="14"/>
      <c r="S20" s="14"/>
      <c r="T20" s="15"/>
      <c r="U20" s="14"/>
      <c r="V20" s="15"/>
      <c r="W20" s="14"/>
      <c r="X20" s="14"/>
      <c r="Y20" s="14"/>
      <c r="Z20" s="14"/>
      <c r="AA20" s="14"/>
      <c r="AB20" s="14"/>
      <c r="AC20" s="14"/>
    </row>
    <row r="21" ht="15.75" customHeight="1">
      <c r="A21" s="13" t="str">
        <f t="shared" si="1"/>
        <v/>
      </c>
      <c r="B21" s="15"/>
      <c r="C21" s="14"/>
      <c r="D21" s="14"/>
      <c r="E21" s="14"/>
      <c r="F21" s="14"/>
      <c r="G21" s="14"/>
      <c r="H21" s="14"/>
      <c r="I21" s="15"/>
      <c r="J21" s="14"/>
      <c r="K21" s="14"/>
      <c r="L21" s="14"/>
      <c r="M21" s="14"/>
      <c r="N21" s="14"/>
      <c r="O21" s="14"/>
      <c r="P21" s="15"/>
      <c r="Q21" s="14"/>
      <c r="R21" s="14"/>
      <c r="S21" s="14"/>
      <c r="T21" s="15"/>
      <c r="U21" s="14"/>
      <c r="V21" s="15"/>
      <c r="W21" s="14"/>
      <c r="X21" s="14"/>
      <c r="Y21" s="14"/>
      <c r="Z21" s="14"/>
      <c r="AA21" s="14"/>
      <c r="AB21" s="14"/>
      <c r="AC21" s="14"/>
    </row>
    <row r="22" ht="15.75" customHeight="1">
      <c r="A22" s="13" t="str">
        <f t="shared" si="1"/>
        <v/>
      </c>
      <c r="B22" s="15"/>
      <c r="C22" s="14"/>
      <c r="D22" s="14"/>
      <c r="E22" s="14"/>
      <c r="F22" s="14"/>
      <c r="G22" s="14"/>
      <c r="H22" s="14"/>
      <c r="I22" s="15"/>
      <c r="J22" s="14"/>
      <c r="K22" s="14"/>
      <c r="L22" s="14"/>
      <c r="M22" s="14"/>
      <c r="N22" s="14"/>
      <c r="O22" s="14"/>
      <c r="P22" s="15"/>
      <c r="Q22" s="14"/>
      <c r="R22" s="14"/>
      <c r="S22" s="14"/>
      <c r="T22" s="15"/>
      <c r="U22" s="14"/>
      <c r="V22" s="15"/>
      <c r="W22" s="14"/>
      <c r="X22" s="14"/>
      <c r="Y22" s="14"/>
      <c r="Z22" s="14"/>
      <c r="AA22" s="14"/>
      <c r="AB22" s="14"/>
      <c r="AC22" s="14"/>
    </row>
    <row r="23" ht="15.75" customHeight="1">
      <c r="A23" s="13" t="str">
        <f t="shared" si="1"/>
        <v/>
      </c>
      <c r="B23" s="15"/>
      <c r="C23" s="14"/>
      <c r="D23" s="14"/>
      <c r="E23" s="14"/>
      <c r="F23" s="14"/>
      <c r="G23" s="14"/>
      <c r="H23" s="14"/>
      <c r="I23" s="15"/>
      <c r="J23" s="14"/>
      <c r="K23" s="14"/>
      <c r="L23" s="14"/>
      <c r="M23" s="14"/>
      <c r="N23" s="14"/>
      <c r="O23" s="14"/>
      <c r="P23" s="15"/>
      <c r="Q23" s="14"/>
      <c r="R23" s="14"/>
      <c r="S23" s="14"/>
      <c r="T23" s="15"/>
      <c r="U23" s="14"/>
      <c r="V23" s="15"/>
      <c r="W23" s="14"/>
      <c r="X23" s="14"/>
      <c r="Y23" s="14"/>
      <c r="Z23" s="14"/>
      <c r="AA23" s="14"/>
      <c r="AB23" s="14"/>
      <c r="AC23" s="14"/>
    </row>
    <row r="24" ht="15.75" customHeight="1">
      <c r="A24" s="13" t="str">
        <f t="shared" si="1"/>
        <v/>
      </c>
      <c r="B24" s="15"/>
      <c r="C24" s="14"/>
      <c r="D24" s="14"/>
      <c r="E24" s="14"/>
      <c r="F24" s="14"/>
      <c r="G24" s="14"/>
      <c r="H24" s="14"/>
      <c r="I24" s="15"/>
      <c r="J24" s="14"/>
      <c r="K24" s="14"/>
      <c r="L24" s="14"/>
      <c r="M24" s="14"/>
      <c r="N24" s="14"/>
      <c r="O24" s="14"/>
      <c r="P24" s="15"/>
      <c r="Q24" s="14"/>
      <c r="R24" s="14"/>
      <c r="S24" s="14"/>
      <c r="T24" s="15"/>
      <c r="U24" s="14"/>
      <c r="V24" s="15"/>
      <c r="W24" s="14"/>
      <c r="X24" s="14"/>
      <c r="Y24" s="14"/>
      <c r="Z24" s="14"/>
      <c r="AA24" s="14"/>
      <c r="AB24" s="14"/>
      <c r="AC24" s="14"/>
    </row>
    <row r="25" ht="15.75" customHeight="1">
      <c r="A25" s="13" t="str">
        <f t="shared" si="1"/>
        <v/>
      </c>
      <c r="B25" s="15"/>
      <c r="C25" s="14"/>
      <c r="D25" s="14"/>
      <c r="E25" s="14"/>
      <c r="F25" s="14"/>
      <c r="G25" s="14"/>
      <c r="H25" s="14"/>
      <c r="I25" s="15"/>
      <c r="J25" s="14"/>
      <c r="K25" s="14"/>
      <c r="L25" s="14"/>
      <c r="M25" s="14"/>
      <c r="N25" s="14"/>
      <c r="O25" s="14"/>
      <c r="P25" s="15"/>
      <c r="Q25" s="14"/>
      <c r="R25" s="14"/>
      <c r="S25" s="14"/>
      <c r="T25" s="15"/>
      <c r="U25" s="14"/>
      <c r="V25" s="15"/>
      <c r="W25" s="14"/>
      <c r="X25" s="14"/>
      <c r="Y25" s="14"/>
      <c r="Z25" s="14"/>
      <c r="AA25" s="14"/>
      <c r="AB25" s="14"/>
      <c r="AC25" s="14"/>
    </row>
    <row r="26" ht="15.75" customHeight="1">
      <c r="A26" s="13" t="str">
        <f t="shared" si="1"/>
        <v/>
      </c>
      <c r="B26" s="15"/>
      <c r="C26" s="14"/>
      <c r="D26" s="14"/>
      <c r="E26" s="14"/>
      <c r="F26" s="14"/>
      <c r="G26" s="14"/>
      <c r="H26" s="14"/>
      <c r="I26" s="15"/>
      <c r="J26" s="14"/>
      <c r="K26" s="14"/>
      <c r="L26" s="14"/>
      <c r="M26" s="14"/>
      <c r="N26" s="14"/>
      <c r="O26" s="14"/>
      <c r="P26" s="15"/>
      <c r="Q26" s="14"/>
      <c r="R26" s="14"/>
      <c r="S26" s="14"/>
      <c r="T26" s="15"/>
      <c r="U26" s="14"/>
      <c r="V26" s="15"/>
      <c r="W26" s="14"/>
      <c r="X26" s="14"/>
      <c r="Y26" s="14"/>
      <c r="Z26" s="14"/>
      <c r="AA26" s="14"/>
      <c r="AB26" s="14"/>
      <c r="AC26" s="14"/>
    </row>
    <row r="27" ht="15.75" customHeight="1">
      <c r="A27" s="13" t="str">
        <f t="shared" si="1"/>
        <v/>
      </c>
      <c r="B27" s="15"/>
      <c r="C27" s="14"/>
      <c r="D27" s="14"/>
      <c r="E27" s="14"/>
      <c r="F27" s="14"/>
      <c r="G27" s="14"/>
      <c r="H27" s="14"/>
      <c r="I27" s="15"/>
      <c r="J27" s="14"/>
      <c r="K27" s="14"/>
      <c r="L27" s="14"/>
      <c r="M27" s="14"/>
      <c r="N27" s="14"/>
      <c r="O27" s="14"/>
      <c r="P27" s="15"/>
      <c r="Q27" s="14"/>
      <c r="R27" s="14"/>
      <c r="S27" s="14"/>
      <c r="T27" s="15"/>
      <c r="U27" s="14"/>
      <c r="V27" s="15"/>
      <c r="W27" s="14"/>
      <c r="X27" s="14"/>
      <c r="Y27" s="14"/>
      <c r="Z27" s="14"/>
      <c r="AA27" s="14"/>
      <c r="AB27" s="14"/>
      <c r="AC27" s="14"/>
    </row>
    <row r="28" ht="15.75" customHeight="1">
      <c r="A28" s="13" t="str">
        <f t="shared" si="1"/>
        <v/>
      </c>
      <c r="B28" s="15"/>
      <c r="C28" s="14"/>
      <c r="D28" s="14"/>
      <c r="E28" s="14"/>
      <c r="F28" s="14"/>
      <c r="G28" s="14"/>
      <c r="H28" s="14"/>
      <c r="I28" s="15"/>
      <c r="J28" s="14"/>
      <c r="K28" s="14"/>
      <c r="L28" s="14"/>
      <c r="M28" s="14"/>
      <c r="N28" s="14"/>
      <c r="O28" s="14"/>
      <c r="P28" s="15"/>
      <c r="Q28" s="14"/>
      <c r="R28" s="14"/>
      <c r="S28" s="14"/>
      <c r="T28" s="15"/>
      <c r="U28" s="14"/>
      <c r="V28" s="15"/>
      <c r="W28" s="14"/>
      <c r="X28" s="14"/>
      <c r="Y28" s="14"/>
      <c r="Z28" s="14"/>
      <c r="AA28" s="14"/>
      <c r="AB28" s="14"/>
      <c r="AC28" s="14"/>
    </row>
    <row r="29" ht="15.75" customHeight="1">
      <c r="A29" s="13" t="str">
        <f t="shared" si="1"/>
        <v/>
      </c>
      <c r="B29" s="15"/>
      <c r="C29" s="14"/>
      <c r="D29" s="14"/>
      <c r="E29" s="14"/>
      <c r="F29" s="14"/>
      <c r="G29" s="14"/>
      <c r="H29" s="14"/>
      <c r="I29" s="15"/>
      <c r="J29" s="14"/>
      <c r="K29" s="14"/>
      <c r="L29" s="14"/>
      <c r="M29" s="14"/>
      <c r="N29" s="14"/>
      <c r="O29" s="14"/>
      <c r="P29" s="15"/>
      <c r="Q29" s="14"/>
      <c r="R29" s="14"/>
      <c r="S29" s="14"/>
      <c r="T29" s="15"/>
      <c r="U29" s="14"/>
      <c r="V29" s="15"/>
      <c r="W29" s="14"/>
      <c r="X29" s="14"/>
      <c r="Y29" s="14"/>
      <c r="Z29" s="14"/>
      <c r="AA29" s="14"/>
      <c r="AB29" s="14"/>
      <c r="AC29" s="14"/>
    </row>
    <row r="30" ht="15.75" customHeight="1">
      <c r="A30" s="13" t="str">
        <f t="shared" si="1"/>
        <v/>
      </c>
      <c r="B30" s="15"/>
      <c r="C30" s="14"/>
      <c r="D30" s="14"/>
      <c r="E30" s="14"/>
      <c r="F30" s="14"/>
      <c r="G30" s="14"/>
      <c r="H30" s="14"/>
      <c r="I30" s="15"/>
      <c r="J30" s="14"/>
      <c r="K30" s="14"/>
      <c r="L30" s="14"/>
      <c r="M30" s="14"/>
      <c r="N30" s="14"/>
      <c r="O30" s="14"/>
      <c r="P30" s="15"/>
      <c r="Q30" s="14"/>
      <c r="R30" s="14"/>
      <c r="S30" s="14"/>
      <c r="T30" s="15"/>
      <c r="U30" s="14"/>
      <c r="V30" s="15"/>
      <c r="W30" s="14"/>
      <c r="X30" s="14"/>
      <c r="Y30" s="14"/>
      <c r="Z30" s="14"/>
      <c r="AA30" s="14"/>
      <c r="AB30" s="14"/>
      <c r="AC30" s="14"/>
    </row>
    <row r="31" ht="15.75" customHeight="1">
      <c r="A31" s="13" t="str">
        <f t="shared" si="1"/>
        <v/>
      </c>
      <c r="B31" s="15"/>
      <c r="C31" s="14"/>
      <c r="D31" s="14"/>
      <c r="E31" s="14"/>
      <c r="F31" s="14"/>
      <c r="G31" s="14"/>
      <c r="H31" s="14"/>
      <c r="I31" s="15"/>
      <c r="J31" s="14"/>
      <c r="K31" s="14"/>
      <c r="L31" s="14"/>
      <c r="M31" s="14"/>
      <c r="N31" s="14"/>
      <c r="O31" s="14"/>
      <c r="P31" s="15"/>
      <c r="Q31" s="14"/>
      <c r="R31" s="14"/>
      <c r="S31" s="14"/>
      <c r="T31" s="15"/>
      <c r="U31" s="14"/>
      <c r="V31" s="15"/>
      <c r="W31" s="14"/>
      <c r="X31" s="14"/>
      <c r="Y31" s="14"/>
      <c r="Z31" s="14"/>
      <c r="AA31" s="14"/>
      <c r="AB31" s="14"/>
      <c r="AC31" s="14"/>
    </row>
    <row r="32" ht="15.75" customHeight="1">
      <c r="A32" s="13" t="str">
        <f t="shared" si="1"/>
        <v/>
      </c>
      <c r="B32" s="15"/>
      <c r="C32" s="14"/>
      <c r="D32" s="14"/>
      <c r="E32" s="14"/>
      <c r="F32" s="14"/>
      <c r="G32" s="14"/>
      <c r="H32" s="14"/>
      <c r="I32" s="15"/>
      <c r="J32" s="14"/>
      <c r="K32" s="14"/>
      <c r="L32" s="14"/>
      <c r="M32" s="14"/>
      <c r="N32" s="14"/>
      <c r="O32" s="14"/>
      <c r="P32" s="15"/>
      <c r="Q32" s="14"/>
      <c r="R32" s="14"/>
      <c r="S32" s="14"/>
      <c r="T32" s="15"/>
      <c r="U32" s="14"/>
      <c r="V32" s="15"/>
      <c r="W32" s="14"/>
      <c r="X32" s="14"/>
      <c r="Y32" s="14"/>
      <c r="Z32" s="14"/>
      <c r="AA32" s="14"/>
      <c r="AB32" s="14"/>
      <c r="AC32" s="14"/>
    </row>
    <row r="33" ht="15.75" customHeight="1">
      <c r="A33" s="13" t="str">
        <f t="shared" si="1"/>
        <v/>
      </c>
      <c r="B33" s="15"/>
      <c r="C33" s="14"/>
      <c r="D33" s="14"/>
      <c r="E33" s="14"/>
      <c r="F33" s="14"/>
      <c r="G33" s="14"/>
      <c r="H33" s="14"/>
      <c r="I33" s="15"/>
      <c r="J33" s="14"/>
      <c r="K33" s="14"/>
      <c r="L33" s="14"/>
      <c r="M33" s="14"/>
      <c r="N33" s="14"/>
      <c r="O33" s="14"/>
      <c r="P33" s="15"/>
      <c r="Q33" s="14"/>
      <c r="R33" s="14"/>
      <c r="S33" s="14"/>
      <c r="T33" s="15"/>
      <c r="U33" s="14"/>
      <c r="V33" s="15"/>
      <c r="W33" s="14"/>
      <c r="X33" s="14"/>
      <c r="Y33" s="14"/>
      <c r="Z33" s="14"/>
      <c r="AA33" s="14"/>
      <c r="AB33" s="14"/>
      <c r="AC33" s="14"/>
    </row>
    <row r="34" ht="15.75" customHeight="1">
      <c r="A34" s="13" t="str">
        <f t="shared" si="1"/>
        <v/>
      </c>
      <c r="B34" s="15"/>
      <c r="C34" s="14"/>
      <c r="D34" s="14"/>
      <c r="E34" s="14"/>
      <c r="F34" s="14"/>
      <c r="G34" s="14"/>
      <c r="H34" s="14"/>
      <c r="I34" s="15"/>
      <c r="J34" s="14"/>
      <c r="K34" s="14"/>
      <c r="L34" s="14"/>
      <c r="M34" s="14"/>
      <c r="N34" s="14"/>
      <c r="O34" s="14"/>
      <c r="P34" s="15"/>
      <c r="Q34" s="14"/>
      <c r="R34" s="14"/>
      <c r="S34" s="14"/>
      <c r="T34" s="15"/>
      <c r="U34" s="14"/>
      <c r="V34" s="15"/>
      <c r="W34" s="14"/>
      <c r="X34" s="14"/>
      <c r="Y34" s="14"/>
      <c r="Z34" s="14"/>
      <c r="AA34" s="14"/>
      <c r="AB34" s="14"/>
      <c r="AC34" s="14"/>
    </row>
    <row r="35" ht="15.75" customHeight="1">
      <c r="A35" s="13" t="str">
        <f t="shared" si="1"/>
        <v/>
      </c>
      <c r="B35" s="15"/>
      <c r="C35" s="14"/>
      <c r="D35" s="14"/>
      <c r="E35" s="14"/>
      <c r="F35" s="14"/>
      <c r="G35" s="14"/>
      <c r="H35" s="14"/>
      <c r="I35" s="15"/>
      <c r="J35" s="14"/>
      <c r="K35" s="14"/>
      <c r="L35" s="14"/>
      <c r="M35" s="14"/>
      <c r="N35" s="14"/>
      <c r="O35" s="14"/>
      <c r="P35" s="15"/>
      <c r="Q35" s="14"/>
      <c r="R35" s="14"/>
      <c r="S35" s="14"/>
      <c r="T35" s="15"/>
      <c r="U35" s="14"/>
      <c r="V35" s="15"/>
      <c r="W35" s="14"/>
      <c r="X35" s="14"/>
      <c r="Y35" s="14"/>
      <c r="Z35" s="14"/>
      <c r="AA35" s="14"/>
      <c r="AB35" s="14"/>
      <c r="AC35" s="14"/>
    </row>
    <row r="36" ht="15.75" customHeight="1">
      <c r="A36" s="13" t="str">
        <f t="shared" si="1"/>
        <v/>
      </c>
      <c r="B36" s="15"/>
      <c r="C36" s="14"/>
      <c r="D36" s="14"/>
      <c r="E36" s="14"/>
      <c r="F36" s="14"/>
      <c r="G36" s="14"/>
      <c r="H36" s="14"/>
      <c r="I36" s="15"/>
      <c r="J36" s="14"/>
      <c r="K36" s="14"/>
      <c r="L36" s="14"/>
      <c r="M36" s="14"/>
      <c r="N36" s="14"/>
      <c r="O36" s="14"/>
      <c r="P36" s="15"/>
      <c r="Q36" s="14"/>
      <c r="R36" s="14"/>
      <c r="S36" s="14"/>
      <c r="T36" s="15"/>
      <c r="U36" s="14"/>
      <c r="V36" s="15"/>
      <c r="W36" s="14"/>
      <c r="X36" s="14"/>
      <c r="Y36" s="14"/>
      <c r="Z36" s="14"/>
      <c r="AA36" s="14"/>
      <c r="AB36" s="14"/>
      <c r="AC36" s="14"/>
    </row>
    <row r="37" ht="15.75" customHeight="1">
      <c r="A37" s="13" t="str">
        <f t="shared" si="1"/>
        <v/>
      </c>
      <c r="B37" s="15"/>
      <c r="C37" s="14"/>
      <c r="D37" s="14"/>
      <c r="E37" s="14"/>
      <c r="F37" s="14"/>
      <c r="G37" s="14"/>
      <c r="H37" s="14"/>
      <c r="I37" s="15"/>
      <c r="J37" s="14"/>
      <c r="K37" s="14"/>
      <c r="L37" s="14"/>
      <c r="M37" s="14"/>
      <c r="N37" s="14"/>
      <c r="O37" s="14"/>
      <c r="P37" s="15"/>
      <c r="Q37" s="14"/>
      <c r="R37" s="14"/>
      <c r="S37" s="14"/>
      <c r="T37" s="15"/>
      <c r="U37" s="14"/>
      <c r="V37" s="15"/>
      <c r="W37" s="14"/>
      <c r="X37" s="14"/>
      <c r="Y37" s="14"/>
      <c r="Z37" s="14"/>
      <c r="AA37" s="14"/>
      <c r="AB37" s="14"/>
      <c r="AC37" s="14"/>
    </row>
    <row r="38" ht="15.75" customHeight="1">
      <c r="A38" s="13" t="str">
        <f t="shared" si="1"/>
        <v/>
      </c>
      <c r="B38" s="15"/>
      <c r="C38" s="14"/>
      <c r="D38" s="14"/>
      <c r="E38" s="14"/>
      <c r="F38" s="14"/>
      <c r="G38" s="14"/>
      <c r="H38" s="14"/>
      <c r="I38" s="15"/>
      <c r="J38" s="14"/>
      <c r="K38" s="14"/>
      <c r="L38" s="14"/>
      <c r="M38" s="14"/>
      <c r="N38" s="14"/>
      <c r="O38" s="14"/>
      <c r="P38" s="15"/>
      <c r="Q38" s="14"/>
      <c r="R38" s="14"/>
      <c r="S38" s="14"/>
      <c r="T38" s="15"/>
      <c r="U38" s="14"/>
      <c r="V38" s="15"/>
      <c r="W38" s="14"/>
      <c r="X38" s="14"/>
      <c r="Y38" s="14"/>
      <c r="Z38" s="14"/>
      <c r="AA38" s="14"/>
      <c r="AB38" s="14"/>
      <c r="AC38" s="14"/>
    </row>
    <row r="39" ht="15.75" customHeight="1">
      <c r="A39" s="13" t="str">
        <f t="shared" si="1"/>
        <v/>
      </c>
      <c r="B39" s="15"/>
      <c r="C39" s="14"/>
      <c r="D39" s="14"/>
      <c r="E39" s="14"/>
      <c r="F39" s="14"/>
      <c r="G39" s="14"/>
      <c r="H39" s="14"/>
      <c r="I39" s="15"/>
      <c r="J39" s="14"/>
      <c r="K39" s="14"/>
      <c r="L39" s="14"/>
      <c r="M39" s="14"/>
      <c r="N39" s="14"/>
      <c r="O39" s="14"/>
      <c r="P39" s="15"/>
      <c r="Q39" s="14"/>
      <c r="R39" s="14"/>
      <c r="S39" s="14"/>
      <c r="T39" s="15"/>
      <c r="U39" s="14"/>
      <c r="V39" s="15"/>
      <c r="W39" s="14"/>
      <c r="X39" s="14"/>
      <c r="Y39" s="14"/>
      <c r="Z39" s="14"/>
      <c r="AA39" s="14"/>
      <c r="AB39" s="14"/>
      <c r="AC39" s="14"/>
    </row>
    <row r="40" ht="15.75" customHeight="1">
      <c r="A40" s="13" t="str">
        <f t="shared" si="1"/>
        <v/>
      </c>
      <c r="B40" s="15"/>
      <c r="C40" s="14"/>
      <c r="D40" s="14"/>
      <c r="E40" s="14"/>
      <c r="F40" s="14"/>
      <c r="G40" s="14"/>
      <c r="H40" s="14"/>
      <c r="I40" s="15"/>
      <c r="J40" s="14"/>
      <c r="K40" s="14"/>
      <c r="L40" s="14"/>
      <c r="M40" s="14"/>
      <c r="N40" s="14"/>
      <c r="O40" s="14"/>
      <c r="P40" s="15"/>
      <c r="Q40" s="14"/>
      <c r="R40" s="14"/>
      <c r="S40" s="14"/>
      <c r="T40" s="15"/>
      <c r="U40" s="14"/>
      <c r="V40" s="15"/>
      <c r="W40" s="14"/>
      <c r="X40" s="14"/>
      <c r="Y40" s="14"/>
      <c r="Z40" s="14"/>
      <c r="AA40" s="14"/>
      <c r="AB40" s="14"/>
      <c r="AC40" s="14"/>
    </row>
    <row r="41" ht="15.75" customHeight="1">
      <c r="A41" s="13" t="str">
        <f t="shared" si="1"/>
        <v/>
      </c>
      <c r="B41" s="15"/>
      <c r="C41" s="14"/>
      <c r="D41" s="14"/>
      <c r="E41" s="14"/>
      <c r="F41" s="14"/>
      <c r="G41" s="14"/>
      <c r="H41" s="14"/>
      <c r="I41" s="15"/>
      <c r="J41" s="14"/>
      <c r="K41" s="14"/>
      <c r="L41" s="14"/>
      <c r="M41" s="14"/>
      <c r="N41" s="14"/>
      <c r="O41" s="14"/>
      <c r="P41" s="15"/>
      <c r="Q41" s="14"/>
      <c r="R41" s="14"/>
      <c r="S41" s="14"/>
      <c r="T41" s="15"/>
      <c r="U41" s="14"/>
      <c r="V41" s="15"/>
      <c r="W41" s="14"/>
      <c r="X41" s="14"/>
      <c r="Y41" s="14"/>
      <c r="Z41" s="14"/>
      <c r="AA41" s="14"/>
      <c r="AB41" s="14"/>
      <c r="AC41" s="14"/>
    </row>
    <row r="42" ht="15.75" customHeight="1">
      <c r="A42" s="13" t="str">
        <f t="shared" si="1"/>
        <v/>
      </c>
      <c r="B42" s="15"/>
      <c r="C42" s="14"/>
      <c r="D42" s="14"/>
      <c r="E42" s="14"/>
      <c r="F42" s="14"/>
      <c r="G42" s="14"/>
      <c r="H42" s="14"/>
      <c r="I42" s="15"/>
      <c r="J42" s="14"/>
      <c r="K42" s="14"/>
      <c r="L42" s="14"/>
      <c r="M42" s="14"/>
      <c r="N42" s="14"/>
      <c r="O42" s="14"/>
      <c r="P42" s="15"/>
      <c r="Q42" s="14"/>
      <c r="R42" s="14"/>
      <c r="S42" s="14"/>
      <c r="T42" s="15"/>
      <c r="U42" s="14"/>
      <c r="V42" s="15"/>
      <c r="W42" s="14"/>
      <c r="X42" s="14"/>
      <c r="Y42" s="14"/>
      <c r="Z42" s="14"/>
      <c r="AA42" s="14"/>
      <c r="AB42" s="14"/>
      <c r="AC42" s="14"/>
    </row>
    <row r="43" ht="15.75" customHeight="1">
      <c r="A43" s="13" t="str">
        <f t="shared" si="1"/>
        <v/>
      </c>
      <c r="B43" s="15"/>
      <c r="C43" s="14"/>
      <c r="D43" s="14"/>
      <c r="E43" s="14"/>
      <c r="F43" s="14"/>
      <c r="G43" s="14"/>
      <c r="H43" s="14"/>
      <c r="I43" s="15"/>
      <c r="J43" s="14"/>
      <c r="K43" s="14"/>
      <c r="L43" s="14"/>
      <c r="M43" s="14"/>
      <c r="N43" s="14"/>
      <c r="O43" s="14"/>
      <c r="P43" s="15"/>
      <c r="Q43" s="14"/>
      <c r="R43" s="14"/>
      <c r="S43" s="14"/>
      <c r="T43" s="15"/>
      <c r="U43" s="14"/>
      <c r="V43" s="15"/>
      <c r="W43" s="14"/>
      <c r="X43" s="14"/>
      <c r="Y43" s="14"/>
      <c r="Z43" s="14"/>
      <c r="AA43" s="14"/>
      <c r="AB43" s="14"/>
      <c r="AC43" s="14"/>
    </row>
    <row r="44" ht="15.75" customHeight="1">
      <c r="A44" s="13" t="str">
        <f t="shared" si="1"/>
        <v/>
      </c>
      <c r="B44" s="15"/>
      <c r="C44" s="14"/>
      <c r="D44" s="14"/>
      <c r="E44" s="14"/>
      <c r="F44" s="14"/>
      <c r="G44" s="14"/>
      <c r="H44" s="14"/>
      <c r="I44" s="15"/>
      <c r="J44" s="14"/>
      <c r="K44" s="14"/>
      <c r="L44" s="14"/>
      <c r="M44" s="14"/>
      <c r="N44" s="14"/>
      <c r="O44" s="14"/>
      <c r="P44" s="15"/>
      <c r="Q44" s="14"/>
      <c r="R44" s="14"/>
      <c r="S44" s="14"/>
      <c r="T44" s="15"/>
      <c r="U44" s="14"/>
      <c r="V44" s="15"/>
      <c r="W44" s="14"/>
      <c r="X44" s="14"/>
      <c r="Y44" s="14"/>
      <c r="Z44" s="14"/>
      <c r="AA44" s="14"/>
      <c r="AB44" s="14"/>
      <c r="AC44" s="14"/>
    </row>
    <row r="45" ht="15.75" customHeight="1">
      <c r="A45" s="13" t="str">
        <f t="shared" si="1"/>
        <v/>
      </c>
      <c r="B45" s="15"/>
      <c r="C45" s="14"/>
      <c r="D45" s="14"/>
      <c r="E45" s="14"/>
      <c r="F45" s="14"/>
      <c r="G45" s="14"/>
      <c r="H45" s="14"/>
      <c r="I45" s="15"/>
      <c r="J45" s="14"/>
      <c r="K45" s="14"/>
      <c r="L45" s="14"/>
      <c r="M45" s="14"/>
      <c r="N45" s="14"/>
      <c r="O45" s="14"/>
      <c r="P45" s="15"/>
      <c r="Q45" s="14"/>
      <c r="R45" s="14"/>
      <c r="S45" s="14"/>
      <c r="T45" s="15"/>
      <c r="U45" s="14"/>
      <c r="V45" s="15"/>
      <c r="W45" s="14"/>
      <c r="X45" s="14"/>
      <c r="Y45" s="14"/>
      <c r="Z45" s="14"/>
      <c r="AA45" s="14"/>
      <c r="AB45" s="14"/>
      <c r="AC45" s="14"/>
    </row>
    <row r="46" ht="15.75" customHeight="1">
      <c r="A46" s="13" t="str">
        <f t="shared" si="1"/>
        <v/>
      </c>
      <c r="B46" s="15"/>
      <c r="C46" s="14"/>
      <c r="D46" s="14"/>
      <c r="E46" s="14"/>
      <c r="F46" s="14"/>
      <c r="G46" s="14"/>
      <c r="H46" s="14"/>
      <c r="I46" s="15"/>
      <c r="J46" s="14"/>
      <c r="K46" s="14"/>
      <c r="L46" s="14"/>
      <c r="M46" s="14"/>
      <c r="N46" s="14"/>
      <c r="O46" s="14"/>
      <c r="P46" s="15"/>
      <c r="Q46" s="14"/>
      <c r="R46" s="14"/>
      <c r="S46" s="14"/>
      <c r="T46" s="15"/>
      <c r="U46" s="14"/>
      <c r="V46" s="15"/>
      <c r="W46" s="14"/>
      <c r="X46" s="14"/>
      <c r="Y46" s="14"/>
      <c r="Z46" s="14"/>
      <c r="AA46" s="14"/>
      <c r="AB46" s="14"/>
      <c r="AC46" s="14"/>
    </row>
    <row r="47" ht="15.75" customHeight="1">
      <c r="A47" s="13" t="str">
        <f t="shared" si="1"/>
        <v/>
      </c>
      <c r="B47" s="15"/>
      <c r="C47" s="14"/>
      <c r="D47" s="14"/>
      <c r="E47" s="14"/>
      <c r="F47" s="14"/>
      <c r="G47" s="14"/>
      <c r="H47" s="14"/>
      <c r="I47" s="15"/>
      <c r="J47" s="14"/>
      <c r="K47" s="14"/>
      <c r="L47" s="14"/>
      <c r="M47" s="14"/>
      <c r="N47" s="14"/>
      <c r="O47" s="14"/>
      <c r="P47" s="15"/>
      <c r="Q47" s="14"/>
      <c r="R47" s="14"/>
      <c r="S47" s="14"/>
      <c r="T47" s="15"/>
      <c r="U47" s="14"/>
      <c r="V47" s="15"/>
      <c r="W47" s="14"/>
      <c r="X47" s="14"/>
      <c r="Y47" s="14"/>
      <c r="Z47" s="14"/>
      <c r="AA47" s="14"/>
      <c r="AB47" s="14"/>
      <c r="AC47" s="14"/>
    </row>
    <row r="48" ht="15.75" customHeight="1">
      <c r="A48" s="13" t="str">
        <f t="shared" si="1"/>
        <v/>
      </c>
      <c r="B48" s="15"/>
      <c r="C48" s="14"/>
      <c r="D48" s="14"/>
      <c r="E48" s="14"/>
      <c r="F48" s="14"/>
      <c r="G48" s="14"/>
      <c r="H48" s="14"/>
      <c r="I48" s="15"/>
      <c r="J48" s="14"/>
      <c r="K48" s="14"/>
      <c r="L48" s="14"/>
      <c r="M48" s="14"/>
      <c r="N48" s="14"/>
      <c r="O48" s="14"/>
      <c r="P48" s="15"/>
      <c r="Q48" s="14"/>
      <c r="R48" s="14"/>
      <c r="S48" s="14"/>
      <c r="T48" s="15"/>
      <c r="U48" s="14"/>
      <c r="V48" s="15"/>
      <c r="W48" s="14"/>
      <c r="X48" s="14"/>
      <c r="Y48" s="14"/>
      <c r="Z48" s="14"/>
      <c r="AA48" s="14"/>
      <c r="AB48" s="14"/>
      <c r="AC48" s="14"/>
    </row>
    <row r="49" ht="15.75" customHeight="1">
      <c r="A49" s="13" t="str">
        <f t="shared" si="1"/>
        <v/>
      </c>
      <c r="B49" s="15"/>
      <c r="C49" s="14"/>
      <c r="D49" s="14"/>
      <c r="E49" s="14"/>
      <c r="F49" s="14"/>
      <c r="G49" s="14"/>
      <c r="H49" s="14"/>
      <c r="I49" s="15"/>
      <c r="J49" s="14"/>
      <c r="K49" s="14"/>
      <c r="L49" s="14"/>
      <c r="M49" s="14"/>
      <c r="N49" s="14"/>
      <c r="O49" s="14"/>
      <c r="P49" s="15"/>
      <c r="Q49" s="14"/>
      <c r="R49" s="14"/>
      <c r="S49" s="14"/>
      <c r="T49" s="15"/>
      <c r="U49" s="14"/>
      <c r="V49" s="15"/>
      <c r="W49" s="14"/>
      <c r="X49" s="14"/>
      <c r="Y49" s="14"/>
      <c r="Z49" s="14"/>
      <c r="AA49" s="14"/>
      <c r="AB49" s="14"/>
      <c r="AC49" s="14"/>
    </row>
    <row r="50" ht="15.75" customHeight="1">
      <c r="A50" s="13" t="str">
        <f t="shared" si="1"/>
        <v/>
      </c>
      <c r="B50" s="15"/>
      <c r="C50" s="14"/>
      <c r="D50" s="14"/>
      <c r="E50" s="14"/>
      <c r="F50" s="14"/>
      <c r="G50" s="14"/>
      <c r="H50" s="14"/>
      <c r="I50" s="15"/>
      <c r="J50" s="14"/>
      <c r="K50" s="14"/>
      <c r="L50" s="14"/>
      <c r="M50" s="14"/>
      <c r="N50" s="14"/>
      <c r="O50" s="14"/>
      <c r="P50" s="15"/>
      <c r="Q50" s="14"/>
      <c r="R50" s="14"/>
      <c r="S50" s="14"/>
      <c r="T50" s="15"/>
      <c r="U50" s="14"/>
      <c r="V50" s="15"/>
      <c r="W50" s="14"/>
      <c r="X50" s="14"/>
      <c r="Y50" s="14"/>
      <c r="Z50" s="14"/>
      <c r="AA50" s="14"/>
      <c r="AB50" s="14"/>
      <c r="AC50" s="14"/>
    </row>
    <row r="51" ht="15.75" customHeight="1">
      <c r="A51" s="13" t="str">
        <f t="shared" si="1"/>
        <v/>
      </c>
      <c r="B51" s="15"/>
      <c r="C51" s="14"/>
      <c r="D51" s="14"/>
      <c r="E51" s="14"/>
      <c r="F51" s="14"/>
      <c r="G51" s="14"/>
      <c r="H51" s="14"/>
      <c r="I51" s="15"/>
      <c r="J51" s="14"/>
      <c r="K51" s="14"/>
      <c r="L51" s="14"/>
      <c r="M51" s="14"/>
      <c r="N51" s="14"/>
      <c r="O51" s="14"/>
      <c r="P51" s="15"/>
      <c r="Q51" s="14"/>
      <c r="R51" s="14"/>
      <c r="S51" s="14"/>
      <c r="T51" s="15"/>
      <c r="U51" s="14"/>
      <c r="V51" s="15"/>
      <c r="W51" s="14"/>
      <c r="X51" s="14"/>
      <c r="Y51" s="14"/>
      <c r="Z51" s="14"/>
      <c r="AA51" s="14"/>
      <c r="AB51" s="14"/>
      <c r="AC51" s="14"/>
    </row>
    <row r="52" ht="15.75" customHeight="1">
      <c r="A52" s="13" t="str">
        <f t="shared" si="1"/>
        <v/>
      </c>
      <c r="B52" s="15"/>
      <c r="C52" s="14"/>
      <c r="D52" s="14"/>
      <c r="E52" s="14"/>
      <c r="F52" s="14"/>
      <c r="G52" s="14"/>
      <c r="H52" s="14"/>
      <c r="I52" s="15"/>
      <c r="J52" s="14"/>
      <c r="K52" s="14"/>
      <c r="L52" s="14"/>
      <c r="M52" s="14"/>
      <c r="N52" s="14"/>
      <c r="O52" s="14"/>
      <c r="P52" s="15"/>
      <c r="Q52" s="14"/>
      <c r="R52" s="14"/>
      <c r="S52" s="14"/>
      <c r="T52" s="15"/>
      <c r="U52" s="14"/>
      <c r="V52" s="15"/>
      <c r="W52" s="14"/>
      <c r="X52" s="14"/>
      <c r="Y52" s="14"/>
      <c r="Z52" s="14"/>
      <c r="AA52" s="14"/>
      <c r="AB52" s="14"/>
      <c r="AC52" s="14"/>
    </row>
    <row r="53" ht="15.75" customHeight="1">
      <c r="A53" s="13" t="str">
        <f t="shared" si="1"/>
        <v/>
      </c>
      <c r="B53" s="15"/>
      <c r="C53" s="14"/>
      <c r="D53" s="14"/>
      <c r="E53" s="14"/>
      <c r="F53" s="14"/>
      <c r="G53" s="14"/>
      <c r="H53" s="14"/>
      <c r="I53" s="15"/>
      <c r="J53" s="14"/>
      <c r="K53" s="14"/>
      <c r="L53" s="14"/>
      <c r="M53" s="14"/>
      <c r="N53" s="14"/>
      <c r="O53" s="14"/>
      <c r="P53" s="15"/>
      <c r="Q53" s="14"/>
      <c r="R53" s="14"/>
      <c r="S53" s="14"/>
      <c r="T53" s="15"/>
      <c r="U53" s="14"/>
      <c r="V53" s="15"/>
      <c r="W53" s="14"/>
      <c r="X53" s="14"/>
      <c r="Y53" s="14"/>
      <c r="Z53" s="14"/>
      <c r="AA53" s="14"/>
      <c r="AB53" s="14"/>
      <c r="AC53" s="14"/>
    </row>
    <row r="54" ht="15.75" customHeight="1">
      <c r="A54" s="13" t="str">
        <f t="shared" si="1"/>
        <v/>
      </c>
      <c r="B54" s="15"/>
      <c r="C54" s="14"/>
      <c r="D54" s="14"/>
      <c r="E54" s="14"/>
      <c r="F54" s="14"/>
      <c r="G54" s="14"/>
      <c r="H54" s="14"/>
      <c r="I54" s="15"/>
      <c r="J54" s="14"/>
      <c r="K54" s="14"/>
      <c r="L54" s="14"/>
      <c r="M54" s="14"/>
      <c r="N54" s="14"/>
      <c r="O54" s="14"/>
      <c r="P54" s="15"/>
      <c r="Q54" s="14"/>
      <c r="R54" s="14"/>
      <c r="S54" s="14"/>
      <c r="T54" s="15"/>
      <c r="U54" s="14"/>
      <c r="V54" s="15"/>
      <c r="W54" s="14"/>
      <c r="X54" s="14"/>
      <c r="Y54" s="14"/>
      <c r="Z54" s="14"/>
      <c r="AA54" s="14"/>
      <c r="AB54" s="14"/>
      <c r="AC54" s="14"/>
    </row>
    <row r="55" ht="15.75" customHeight="1">
      <c r="A55" s="13" t="str">
        <f t="shared" si="1"/>
        <v/>
      </c>
      <c r="B55" s="15"/>
      <c r="C55" s="14"/>
      <c r="D55" s="14"/>
      <c r="E55" s="14"/>
      <c r="F55" s="14"/>
      <c r="G55" s="14"/>
      <c r="H55" s="14"/>
      <c r="I55" s="15"/>
      <c r="J55" s="14"/>
      <c r="K55" s="14"/>
      <c r="L55" s="14"/>
      <c r="M55" s="14"/>
      <c r="N55" s="14"/>
      <c r="O55" s="14"/>
      <c r="P55" s="15"/>
      <c r="Q55" s="14"/>
      <c r="R55" s="14"/>
      <c r="S55" s="14"/>
      <c r="T55" s="15"/>
      <c r="U55" s="14"/>
      <c r="V55" s="15"/>
      <c r="W55" s="14"/>
      <c r="X55" s="14"/>
      <c r="Y55" s="14"/>
      <c r="Z55" s="14"/>
      <c r="AA55" s="14"/>
      <c r="AB55" s="14"/>
      <c r="AC55" s="14"/>
    </row>
    <row r="56" ht="15.75" customHeight="1">
      <c r="A56" s="13" t="str">
        <f t="shared" si="1"/>
        <v/>
      </c>
      <c r="B56" s="15"/>
      <c r="C56" s="14"/>
      <c r="D56" s="14"/>
      <c r="E56" s="14"/>
      <c r="F56" s="14"/>
      <c r="G56" s="14"/>
      <c r="H56" s="14"/>
      <c r="I56" s="15"/>
      <c r="J56" s="14"/>
      <c r="K56" s="14"/>
      <c r="L56" s="14"/>
      <c r="M56" s="14"/>
      <c r="N56" s="14"/>
      <c r="O56" s="14"/>
      <c r="P56" s="15"/>
      <c r="Q56" s="14"/>
      <c r="R56" s="14"/>
      <c r="S56" s="14"/>
      <c r="T56" s="15"/>
      <c r="U56" s="14"/>
      <c r="V56" s="15"/>
      <c r="W56" s="14"/>
      <c r="X56" s="14"/>
      <c r="Y56" s="14"/>
      <c r="Z56" s="14"/>
      <c r="AA56" s="14"/>
      <c r="AB56" s="14"/>
      <c r="AC56" s="14"/>
    </row>
    <row r="57" ht="15.75" customHeight="1">
      <c r="A57" s="13" t="str">
        <f t="shared" si="1"/>
        <v/>
      </c>
      <c r="B57" s="15"/>
      <c r="C57" s="14"/>
      <c r="D57" s="14"/>
      <c r="E57" s="14"/>
      <c r="F57" s="14"/>
      <c r="G57" s="14"/>
      <c r="H57" s="14"/>
      <c r="I57" s="15"/>
      <c r="J57" s="14"/>
      <c r="K57" s="14"/>
      <c r="L57" s="14"/>
      <c r="M57" s="14"/>
      <c r="N57" s="14"/>
      <c r="O57" s="14"/>
      <c r="P57" s="15"/>
      <c r="Q57" s="14"/>
      <c r="R57" s="14"/>
      <c r="S57" s="14"/>
      <c r="T57" s="15"/>
      <c r="U57" s="14"/>
      <c r="V57" s="15"/>
      <c r="W57" s="14"/>
      <c r="X57" s="14"/>
      <c r="Y57" s="14"/>
      <c r="Z57" s="14"/>
      <c r="AA57" s="14"/>
      <c r="AB57" s="14"/>
      <c r="AC57" s="14"/>
    </row>
    <row r="58" ht="15.75" customHeight="1">
      <c r="A58" s="13" t="str">
        <f t="shared" si="1"/>
        <v/>
      </c>
      <c r="B58" s="15"/>
      <c r="C58" s="14"/>
      <c r="D58" s="14"/>
      <c r="E58" s="14"/>
      <c r="F58" s="14"/>
      <c r="G58" s="14"/>
      <c r="H58" s="14"/>
      <c r="I58" s="15"/>
      <c r="J58" s="14"/>
      <c r="K58" s="14"/>
      <c r="L58" s="14"/>
      <c r="M58" s="14"/>
      <c r="N58" s="14"/>
      <c r="O58" s="14"/>
      <c r="P58" s="15"/>
      <c r="Q58" s="14"/>
      <c r="R58" s="14"/>
      <c r="S58" s="14"/>
      <c r="T58" s="15"/>
      <c r="U58" s="14"/>
      <c r="V58" s="15"/>
      <c r="W58" s="14"/>
      <c r="X58" s="14"/>
      <c r="Y58" s="14"/>
      <c r="Z58" s="14"/>
      <c r="AA58" s="14"/>
      <c r="AB58" s="14"/>
      <c r="AC58" s="14"/>
    </row>
    <row r="59" ht="15.75" customHeight="1">
      <c r="A59" s="13" t="str">
        <f t="shared" si="1"/>
        <v/>
      </c>
      <c r="B59" s="15"/>
      <c r="C59" s="14"/>
      <c r="D59" s="14"/>
      <c r="E59" s="14"/>
      <c r="F59" s="14"/>
      <c r="G59" s="14"/>
      <c r="H59" s="14"/>
      <c r="I59" s="15"/>
      <c r="J59" s="14"/>
      <c r="K59" s="14"/>
      <c r="L59" s="14"/>
      <c r="M59" s="14"/>
      <c r="N59" s="14"/>
      <c r="O59" s="14"/>
      <c r="P59" s="15"/>
      <c r="Q59" s="14"/>
      <c r="R59" s="14"/>
      <c r="S59" s="14"/>
      <c r="T59" s="15"/>
      <c r="U59" s="14"/>
      <c r="V59" s="15"/>
      <c r="W59" s="14"/>
      <c r="X59" s="14"/>
      <c r="Y59" s="14"/>
      <c r="Z59" s="14"/>
      <c r="AA59" s="14"/>
      <c r="AB59" s="14"/>
      <c r="AC59" s="14"/>
    </row>
    <row r="60" ht="15.75" customHeight="1">
      <c r="A60" s="13" t="str">
        <f t="shared" si="1"/>
        <v/>
      </c>
      <c r="B60" s="15"/>
      <c r="C60" s="14"/>
      <c r="D60" s="14"/>
      <c r="E60" s="14"/>
      <c r="F60" s="14"/>
      <c r="G60" s="14"/>
      <c r="H60" s="14"/>
      <c r="I60" s="15"/>
      <c r="J60" s="14"/>
      <c r="K60" s="14"/>
      <c r="L60" s="14"/>
      <c r="M60" s="14"/>
      <c r="N60" s="14"/>
      <c r="O60" s="14"/>
      <c r="P60" s="15"/>
      <c r="Q60" s="14"/>
      <c r="R60" s="14"/>
      <c r="S60" s="14"/>
      <c r="T60" s="15"/>
      <c r="U60" s="14"/>
      <c r="V60" s="15"/>
      <c r="W60" s="14"/>
      <c r="X60" s="14"/>
      <c r="Y60" s="14"/>
      <c r="Z60" s="14"/>
      <c r="AA60" s="14"/>
      <c r="AB60" s="14"/>
      <c r="AC60" s="14"/>
    </row>
    <row r="61" ht="15.75" customHeight="1">
      <c r="A61" s="13" t="str">
        <f t="shared" si="1"/>
        <v/>
      </c>
      <c r="B61" s="15"/>
      <c r="C61" s="14"/>
      <c r="D61" s="14"/>
      <c r="E61" s="14"/>
      <c r="F61" s="14"/>
      <c r="G61" s="14"/>
      <c r="H61" s="14"/>
      <c r="I61" s="15"/>
      <c r="J61" s="14"/>
      <c r="K61" s="14"/>
      <c r="L61" s="14"/>
      <c r="M61" s="14"/>
      <c r="N61" s="14"/>
      <c r="O61" s="14"/>
      <c r="P61" s="15"/>
      <c r="Q61" s="14"/>
      <c r="R61" s="14"/>
      <c r="S61" s="14"/>
      <c r="T61" s="15"/>
      <c r="U61" s="14"/>
      <c r="V61" s="15"/>
      <c r="W61" s="14"/>
      <c r="X61" s="14"/>
      <c r="Y61" s="14"/>
      <c r="Z61" s="14"/>
      <c r="AA61" s="14"/>
      <c r="AB61" s="14"/>
      <c r="AC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M2:M61">
      <formula1>Lists!$S$2:$S$12</formula1>
    </dataValidation>
    <dataValidation type="list" allowBlank="1" showInputMessage="1" showErrorMessage="1" prompt="Invalid entry - Please choose a value from the dropdown list only." sqref="L2:L61">
      <formula1>Lists!$T$2:$T$4</formula1>
    </dataValidation>
    <dataValidation type="list" allowBlank="1" showInputMessage="1" showErrorMessage="1" prompt="Invalid ID - Please choose a valid evidence_id from Evidence_Log." sqref="T2:T61">
      <formula1>Evidence_Log!$A$2:$A$61</formula1>
    </dataValidation>
    <dataValidation type="list" allowBlank="1" showInputMessage="1" showErrorMessage="1" prompt="Invalid ID - Please choose a valid incident_id from Incident_Log." sqref="B2:B61">
      <formula1>Incident_Log!$A$2:$A$61</formula1>
    </dataValidation>
    <dataValidation type="list" allowBlank="1" showInputMessage="1" showErrorMessage="1" prompt="Invalid ID - Please choose a valid actor_id from People_Roster." sqref="I2:I61 P2:P61 V2:V61">
      <formula1>People_Roster!$A$2:$A$61</formula1>
    </dataValidation>
    <dataValidation type="list" allowBlank="1" showInputMessage="1" showErrorMessage="1" prompt="Invalid entry - Please choose a value from the dropdown list only." sqref="W2:W61">
      <formula1>Lists!$U$2:$U$4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5" width="22.0"/>
    <col customWidth="1" min="16" max="26" width="8.71"/>
  </cols>
  <sheetData>
    <row r="1" ht="30.0" customHeight="1">
      <c r="A1" s="5" t="s">
        <v>341</v>
      </c>
      <c r="B1" s="5" t="s">
        <v>342</v>
      </c>
      <c r="C1" s="5" t="s">
        <v>343</v>
      </c>
      <c r="D1" s="5" t="s">
        <v>344</v>
      </c>
      <c r="E1" s="5" t="s">
        <v>345</v>
      </c>
      <c r="F1" s="5" t="s">
        <v>346</v>
      </c>
      <c r="G1" s="5" t="s">
        <v>347</v>
      </c>
      <c r="H1" s="5" t="s">
        <v>348</v>
      </c>
      <c r="I1" s="5" t="s">
        <v>349</v>
      </c>
      <c r="J1" s="5" t="s">
        <v>350</v>
      </c>
      <c r="K1" s="5" t="s">
        <v>272</v>
      </c>
      <c r="L1" s="5" t="s">
        <v>351</v>
      </c>
      <c r="M1" s="5" t="s">
        <v>352</v>
      </c>
      <c r="N1" s="5" t="s">
        <v>262</v>
      </c>
      <c r="O1" s="5" t="s">
        <v>156</v>
      </c>
    </row>
    <row r="2">
      <c r="A2" s="13" t="str">
        <f t="shared" ref="A2:A61" si="1">IF($B2="","","EVD-"&amp;TEXT(ROW()-1,"000"))</f>
        <v/>
      </c>
      <c r="B2" s="14"/>
      <c r="C2" s="14"/>
      <c r="D2" s="14"/>
      <c r="E2" s="14"/>
      <c r="F2" s="15"/>
      <c r="G2" s="14"/>
      <c r="H2" s="14"/>
      <c r="I2" s="14"/>
      <c r="J2" s="14"/>
      <c r="K2" s="14"/>
      <c r="L2" s="14"/>
      <c r="M2" s="14"/>
      <c r="N2" s="14"/>
      <c r="O2" s="14"/>
    </row>
    <row r="3">
      <c r="A3" s="13" t="str">
        <f t="shared" si="1"/>
        <v/>
      </c>
      <c r="B3" s="14"/>
      <c r="C3" s="14"/>
      <c r="D3" s="14"/>
      <c r="E3" s="14"/>
      <c r="F3" s="15"/>
      <c r="G3" s="14"/>
      <c r="H3" s="14"/>
      <c r="I3" s="14"/>
      <c r="J3" s="14"/>
      <c r="K3" s="14"/>
      <c r="L3" s="14"/>
      <c r="M3" s="14"/>
      <c r="N3" s="14"/>
      <c r="O3" s="14"/>
    </row>
    <row r="4">
      <c r="A4" s="13" t="str">
        <f t="shared" si="1"/>
        <v/>
      </c>
      <c r="B4" s="14"/>
      <c r="C4" s="14"/>
      <c r="D4" s="14"/>
      <c r="E4" s="14"/>
      <c r="F4" s="15"/>
      <c r="G4" s="14"/>
      <c r="H4" s="14"/>
      <c r="I4" s="14"/>
      <c r="J4" s="14"/>
      <c r="K4" s="14"/>
      <c r="L4" s="14"/>
      <c r="M4" s="14"/>
      <c r="N4" s="14"/>
      <c r="O4" s="14"/>
    </row>
    <row r="5">
      <c r="A5" s="13" t="str">
        <f t="shared" si="1"/>
        <v/>
      </c>
      <c r="B5" s="14"/>
      <c r="C5" s="14"/>
      <c r="D5" s="14"/>
      <c r="E5" s="14"/>
      <c r="F5" s="15"/>
      <c r="G5" s="14"/>
      <c r="H5" s="14"/>
      <c r="I5" s="14"/>
      <c r="J5" s="14"/>
      <c r="K5" s="14"/>
      <c r="L5" s="14"/>
      <c r="M5" s="14"/>
      <c r="N5" s="14"/>
      <c r="O5" s="14"/>
    </row>
    <row r="6">
      <c r="A6" s="13" t="str">
        <f t="shared" si="1"/>
        <v/>
      </c>
      <c r="B6" s="14"/>
      <c r="C6" s="14"/>
      <c r="D6" s="14"/>
      <c r="E6" s="14"/>
      <c r="F6" s="15"/>
      <c r="G6" s="14"/>
      <c r="H6" s="14"/>
      <c r="I6" s="14"/>
      <c r="J6" s="14"/>
      <c r="K6" s="14"/>
      <c r="L6" s="14"/>
      <c r="M6" s="14"/>
      <c r="N6" s="14"/>
      <c r="O6" s="14"/>
    </row>
    <row r="7">
      <c r="A7" s="13" t="str">
        <f t="shared" si="1"/>
        <v/>
      </c>
      <c r="B7" s="14"/>
      <c r="C7" s="14"/>
      <c r="D7" s="14"/>
      <c r="E7" s="14"/>
      <c r="F7" s="15"/>
      <c r="G7" s="14"/>
      <c r="H7" s="14"/>
      <c r="I7" s="14"/>
      <c r="J7" s="14"/>
      <c r="K7" s="14"/>
      <c r="L7" s="14"/>
      <c r="M7" s="14"/>
      <c r="N7" s="14"/>
      <c r="O7" s="14"/>
    </row>
    <row r="8">
      <c r="A8" s="13" t="str">
        <f t="shared" si="1"/>
        <v/>
      </c>
      <c r="B8" s="14"/>
      <c r="C8" s="14"/>
      <c r="D8" s="14"/>
      <c r="E8" s="14"/>
      <c r="F8" s="15"/>
      <c r="G8" s="14"/>
      <c r="H8" s="14"/>
      <c r="I8" s="14"/>
      <c r="J8" s="14"/>
      <c r="K8" s="14"/>
      <c r="L8" s="14"/>
      <c r="M8" s="14"/>
      <c r="N8" s="14"/>
      <c r="O8" s="14"/>
    </row>
    <row r="9">
      <c r="A9" s="13" t="str">
        <f t="shared" si="1"/>
        <v/>
      </c>
      <c r="B9" s="14"/>
      <c r="C9" s="14"/>
      <c r="D9" s="14"/>
      <c r="E9" s="14"/>
      <c r="F9" s="15"/>
      <c r="G9" s="14"/>
      <c r="H9" s="14"/>
      <c r="I9" s="14"/>
      <c r="J9" s="14"/>
      <c r="K9" s="14"/>
      <c r="L9" s="14"/>
      <c r="M9" s="14"/>
      <c r="N9" s="14"/>
      <c r="O9" s="14"/>
    </row>
    <row r="10">
      <c r="A10" s="13" t="str">
        <f t="shared" si="1"/>
        <v/>
      </c>
      <c r="B10" s="14"/>
      <c r="C10" s="14"/>
      <c r="D10" s="14"/>
      <c r="E10" s="14"/>
      <c r="F10" s="15"/>
      <c r="G10" s="14"/>
      <c r="H10" s="14"/>
      <c r="I10" s="14"/>
      <c r="J10" s="14"/>
      <c r="K10" s="14"/>
      <c r="L10" s="14"/>
      <c r="M10" s="14"/>
      <c r="N10" s="14"/>
      <c r="O10" s="14"/>
    </row>
    <row r="11">
      <c r="A11" s="13" t="str">
        <f t="shared" si="1"/>
        <v/>
      </c>
      <c r="B11" s="14"/>
      <c r="C11" s="14"/>
      <c r="D11" s="14"/>
      <c r="E11" s="14"/>
      <c r="F11" s="15"/>
      <c r="G11" s="14"/>
      <c r="H11" s="14"/>
      <c r="I11" s="14"/>
      <c r="J11" s="14"/>
      <c r="K11" s="14"/>
      <c r="L11" s="14"/>
      <c r="M11" s="14"/>
      <c r="N11" s="14"/>
      <c r="O11" s="14"/>
    </row>
    <row r="12">
      <c r="A12" s="13" t="str">
        <f t="shared" si="1"/>
        <v/>
      </c>
      <c r="B12" s="14"/>
      <c r="C12" s="14"/>
      <c r="D12" s="14"/>
      <c r="E12" s="14"/>
      <c r="F12" s="15"/>
      <c r="G12" s="14"/>
      <c r="H12" s="14"/>
      <c r="I12" s="14"/>
      <c r="J12" s="14"/>
      <c r="K12" s="14"/>
      <c r="L12" s="14"/>
      <c r="M12" s="14"/>
      <c r="N12" s="14"/>
      <c r="O12" s="14"/>
    </row>
    <row r="13">
      <c r="A13" s="13" t="str">
        <f t="shared" si="1"/>
        <v/>
      </c>
      <c r="B13" s="14"/>
      <c r="C13" s="14"/>
      <c r="D13" s="14"/>
      <c r="E13" s="14"/>
      <c r="F13" s="15"/>
      <c r="G13" s="14"/>
      <c r="H13" s="14"/>
      <c r="I13" s="14"/>
      <c r="J13" s="14"/>
      <c r="K13" s="14"/>
      <c r="L13" s="14"/>
      <c r="M13" s="14"/>
      <c r="N13" s="14"/>
      <c r="O13" s="14"/>
    </row>
    <row r="14">
      <c r="A14" s="13" t="str">
        <f t="shared" si="1"/>
        <v/>
      </c>
      <c r="B14" s="14"/>
      <c r="C14" s="14"/>
      <c r="D14" s="14"/>
      <c r="E14" s="14"/>
      <c r="F14" s="15"/>
      <c r="G14" s="14"/>
      <c r="H14" s="14"/>
      <c r="I14" s="14"/>
      <c r="J14" s="14"/>
      <c r="K14" s="14"/>
      <c r="L14" s="14"/>
      <c r="M14" s="14"/>
      <c r="N14" s="14"/>
      <c r="O14" s="14"/>
    </row>
    <row r="15">
      <c r="A15" s="13" t="str">
        <f t="shared" si="1"/>
        <v/>
      </c>
      <c r="B15" s="14"/>
      <c r="C15" s="14"/>
      <c r="D15" s="14"/>
      <c r="E15" s="14"/>
      <c r="F15" s="15"/>
      <c r="G15" s="14"/>
      <c r="H15" s="14"/>
      <c r="I15" s="14"/>
      <c r="J15" s="14"/>
      <c r="K15" s="14"/>
      <c r="L15" s="14"/>
      <c r="M15" s="14"/>
      <c r="N15" s="14"/>
      <c r="O15" s="14"/>
    </row>
    <row r="16">
      <c r="A16" s="13" t="str">
        <f t="shared" si="1"/>
        <v/>
      </c>
      <c r="B16" s="14"/>
      <c r="C16" s="14"/>
      <c r="D16" s="14"/>
      <c r="E16" s="14"/>
      <c r="F16" s="15"/>
      <c r="G16" s="14"/>
      <c r="H16" s="14"/>
      <c r="I16" s="14"/>
      <c r="J16" s="14"/>
      <c r="K16" s="14"/>
      <c r="L16" s="14"/>
      <c r="M16" s="14"/>
      <c r="N16" s="14"/>
      <c r="O16" s="14"/>
    </row>
    <row r="17">
      <c r="A17" s="13" t="str">
        <f t="shared" si="1"/>
        <v/>
      </c>
      <c r="B17" s="14"/>
      <c r="C17" s="14"/>
      <c r="D17" s="14"/>
      <c r="E17" s="14"/>
      <c r="F17" s="15"/>
      <c r="G17" s="14"/>
      <c r="H17" s="14"/>
      <c r="I17" s="14"/>
      <c r="J17" s="14"/>
      <c r="K17" s="14"/>
      <c r="L17" s="14"/>
      <c r="M17" s="14"/>
      <c r="N17" s="14"/>
      <c r="O17" s="14"/>
    </row>
    <row r="18">
      <c r="A18" s="13" t="str">
        <f t="shared" si="1"/>
        <v/>
      </c>
      <c r="B18" s="14"/>
      <c r="C18" s="14"/>
      <c r="D18" s="14"/>
      <c r="E18" s="14"/>
      <c r="F18" s="15"/>
      <c r="G18" s="14"/>
      <c r="H18" s="14"/>
      <c r="I18" s="14"/>
      <c r="J18" s="14"/>
      <c r="K18" s="14"/>
      <c r="L18" s="14"/>
      <c r="M18" s="14"/>
      <c r="N18" s="14"/>
      <c r="O18" s="14"/>
    </row>
    <row r="19">
      <c r="A19" s="13" t="str">
        <f t="shared" si="1"/>
        <v/>
      </c>
      <c r="B19" s="14"/>
      <c r="C19" s="14"/>
      <c r="D19" s="14"/>
      <c r="E19" s="14"/>
      <c r="F19" s="15"/>
      <c r="G19" s="14"/>
      <c r="H19" s="14"/>
      <c r="I19" s="14"/>
      <c r="J19" s="14"/>
      <c r="K19" s="14"/>
      <c r="L19" s="14"/>
      <c r="M19" s="14"/>
      <c r="N19" s="14"/>
      <c r="O19" s="14"/>
    </row>
    <row r="20">
      <c r="A20" s="13" t="str">
        <f t="shared" si="1"/>
        <v/>
      </c>
      <c r="B20" s="14"/>
      <c r="C20" s="14"/>
      <c r="D20" s="14"/>
      <c r="E20" s="14"/>
      <c r="F20" s="15"/>
      <c r="G20" s="14"/>
      <c r="H20" s="14"/>
      <c r="I20" s="14"/>
      <c r="J20" s="14"/>
      <c r="K20" s="14"/>
      <c r="L20" s="14"/>
      <c r="M20" s="14"/>
      <c r="N20" s="14"/>
      <c r="O20" s="14"/>
    </row>
    <row r="21" ht="15.75" customHeight="1">
      <c r="A21" s="13" t="str">
        <f t="shared" si="1"/>
        <v/>
      </c>
      <c r="B21" s="14"/>
      <c r="C21" s="14"/>
      <c r="D21" s="14"/>
      <c r="E21" s="14"/>
      <c r="F21" s="15"/>
      <c r="G21" s="14"/>
      <c r="H21" s="14"/>
      <c r="I21" s="14"/>
      <c r="J21" s="14"/>
      <c r="K21" s="14"/>
      <c r="L21" s="14"/>
      <c r="M21" s="14"/>
      <c r="N21" s="14"/>
      <c r="O21" s="14"/>
    </row>
    <row r="22" ht="15.75" customHeight="1">
      <c r="A22" s="13" t="str">
        <f t="shared" si="1"/>
        <v/>
      </c>
      <c r="B22" s="14"/>
      <c r="C22" s="14"/>
      <c r="D22" s="14"/>
      <c r="E22" s="14"/>
      <c r="F22" s="15"/>
      <c r="G22" s="14"/>
      <c r="H22" s="14"/>
      <c r="I22" s="14"/>
      <c r="J22" s="14"/>
      <c r="K22" s="14"/>
      <c r="L22" s="14"/>
      <c r="M22" s="14"/>
      <c r="N22" s="14"/>
      <c r="O22" s="14"/>
    </row>
    <row r="23" ht="15.75" customHeight="1">
      <c r="A23" s="13" t="str">
        <f t="shared" si="1"/>
        <v/>
      </c>
      <c r="B23" s="14"/>
      <c r="C23" s="14"/>
      <c r="D23" s="14"/>
      <c r="E23" s="14"/>
      <c r="F23" s="15"/>
      <c r="G23" s="14"/>
      <c r="H23" s="14"/>
      <c r="I23" s="14"/>
      <c r="J23" s="14"/>
      <c r="K23" s="14"/>
      <c r="L23" s="14"/>
      <c r="M23" s="14"/>
      <c r="N23" s="14"/>
      <c r="O23" s="14"/>
    </row>
    <row r="24" ht="15.75" customHeight="1">
      <c r="A24" s="13" t="str">
        <f t="shared" si="1"/>
        <v/>
      </c>
      <c r="B24" s="14"/>
      <c r="C24" s="14"/>
      <c r="D24" s="14"/>
      <c r="E24" s="14"/>
      <c r="F24" s="15"/>
      <c r="G24" s="14"/>
      <c r="H24" s="14"/>
      <c r="I24" s="14"/>
      <c r="J24" s="14"/>
      <c r="K24" s="14"/>
      <c r="L24" s="14"/>
      <c r="M24" s="14"/>
      <c r="N24" s="14"/>
      <c r="O24" s="14"/>
    </row>
    <row r="25" ht="15.75" customHeight="1">
      <c r="A25" s="13" t="str">
        <f t="shared" si="1"/>
        <v/>
      </c>
      <c r="B25" s="14"/>
      <c r="C25" s="14"/>
      <c r="D25" s="14"/>
      <c r="E25" s="14"/>
      <c r="F25" s="15"/>
      <c r="G25" s="14"/>
      <c r="H25" s="14"/>
      <c r="I25" s="14"/>
      <c r="J25" s="14"/>
      <c r="K25" s="14"/>
      <c r="L25" s="14"/>
      <c r="M25" s="14"/>
      <c r="N25" s="14"/>
      <c r="O25" s="14"/>
    </row>
    <row r="26" ht="15.75" customHeight="1">
      <c r="A26" s="13" t="str">
        <f t="shared" si="1"/>
        <v/>
      </c>
      <c r="B26" s="14"/>
      <c r="C26" s="14"/>
      <c r="D26" s="14"/>
      <c r="E26" s="14"/>
      <c r="F26" s="15"/>
      <c r="G26" s="14"/>
      <c r="H26" s="14"/>
      <c r="I26" s="14"/>
      <c r="J26" s="14"/>
      <c r="K26" s="14"/>
      <c r="L26" s="14"/>
      <c r="M26" s="14"/>
      <c r="N26" s="14"/>
      <c r="O26" s="14"/>
    </row>
    <row r="27" ht="15.75" customHeight="1">
      <c r="A27" s="13" t="str">
        <f t="shared" si="1"/>
        <v/>
      </c>
      <c r="B27" s="14"/>
      <c r="C27" s="14"/>
      <c r="D27" s="14"/>
      <c r="E27" s="14"/>
      <c r="F27" s="15"/>
      <c r="G27" s="14"/>
      <c r="H27" s="14"/>
      <c r="I27" s="14"/>
      <c r="J27" s="14"/>
      <c r="K27" s="14"/>
      <c r="L27" s="14"/>
      <c r="M27" s="14"/>
      <c r="N27" s="14"/>
      <c r="O27" s="14"/>
    </row>
    <row r="28" ht="15.75" customHeight="1">
      <c r="A28" s="13" t="str">
        <f t="shared" si="1"/>
        <v/>
      </c>
      <c r="B28" s="14"/>
      <c r="C28" s="14"/>
      <c r="D28" s="14"/>
      <c r="E28" s="14"/>
      <c r="F28" s="15"/>
      <c r="G28" s="14"/>
      <c r="H28" s="14"/>
      <c r="I28" s="14"/>
      <c r="J28" s="14"/>
      <c r="K28" s="14"/>
      <c r="L28" s="14"/>
      <c r="M28" s="14"/>
      <c r="N28" s="14"/>
      <c r="O28" s="14"/>
    </row>
    <row r="29" ht="15.75" customHeight="1">
      <c r="A29" s="13" t="str">
        <f t="shared" si="1"/>
        <v/>
      </c>
      <c r="B29" s="14"/>
      <c r="C29" s="14"/>
      <c r="D29" s="14"/>
      <c r="E29" s="14"/>
      <c r="F29" s="15"/>
      <c r="G29" s="14"/>
      <c r="H29" s="14"/>
      <c r="I29" s="14"/>
      <c r="J29" s="14"/>
      <c r="K29" s="14"/>
      <c r="L29" s="14"/>
      <c r="M29" s="14"/>
      <c r="N29" s="14"/>
      <c r="O29" s="14"/>
    </row>
    <row r="30" ht="15.75" customHeight="1">
      <c r="A30" s="13" t="str">
        <f t="shared" si="1"/>
        <v/>
      </c>
      <c r="B30" s="14"/>
      <c r="C30" s="14"/>
      <c r="D30" s="14"/>
      <c r="E30" s="14"/>
      <c r="F30" s="15"/>
      <c r="G30" s="14"/>
      <c r="H30" s="14"/>
      <c r="I30" s="14"/>
      <c r="J30" s="14"/>
      <c r="K30" s="14"/>
      <c r="L30" s="14"/>
      <c r="M30" s="14"/>
      <c r="N30" s="14"/>
      <c r="O30" s="14"/>
    </row>
    <row r="31" ht="15.75" customHeight="1">
      <c r="A31" s="13" t="str">
        <f t="shared" si="1"/>
        <v/>
      </c>
      <c r="B31" s="14"/>
      <c r="C31" s="14"/>
      <c r="D31" s="14"/>
      <c r="E31" s="14"/>
      <c r="F31" s="15"/>
      <c r="G31" s="14"/>
      <c r="H31" s="14"/>
      <c r="I31" s="14"/>
      <c r="J31" s="14"/>
      <c r="K31" s="14"/>
      <c r="L31" s="14"/>
      <c r="M31" s="14"/>
      <c r="N31" s="14"/>
      <c r="O31" s="14"/>
    </row>
    <row r="32" ht="15.75" customHeight="1">
      <c r="A32" s="13" t="str">
        <f t="shared" si="1"/>
        <v/>
      </c>
      <c r="B32" s="14"/>
      <c r="C32" s="14"/>
      <c r="D32" s="14"/>
      <c r="E32" s="14"/>
      <c r="F32" s="15"/>
      <c r="G32" s="14"/>
      <c r="H32" s="14"/>
      <c r="I32" s="14"/>
      <c r="J32" s="14"/>
      <c r="K32" s="14"/>
      <c r="L32" s="14"/>
      <c r="M32" s="14"/>
      <c r="N32" s="14"/>
      <c r="O32" s="14"/>
    </row>
    <row r="33" ht="15.75" customHeight="1">
      <c r="A33" s="13" t="str">
        <f t="shared" si="1"/>
        <v/>
      </c>
      <c r="B33" s="14"/>
      <c r="C33" s="14"/>
      <c r="D33" s="14"/>
      <c r="E33" s="14"/>
      <c r="F33" s="15"/>
      <c r="G33" s="14"/>
      <c r="H33" s="14"/>
      <c r="I33" s="14"/>
      <c r="J33" s="14"/>
      <c r="K33" s="14"/>
      <c r="L33" s="14"/>
      <c r="M33" s="14"/>
      <c r="N33" s="14"/>
      <c r="O33" s="14"/>
    </row>
    <row r="34" ht="15.75" customHeight="1">
      <c r="A34" s="13" t="str">
        <f t="shared" si="1"/>
        <v/>
      </c>
      <c r="B34" s="14"/>
      <c r="C34" s="14"/>
      <c r="D34" s="14"/>
      <c r="E34" s="14"/>
      <c r="F34" s="15"/>
      <c r="G34" s="14"/>
      <c r="H34" s="14"/>
      <c r="I34" s="14"/>
      <c r="J34" s="14"/>
      <c r="K34" s="14"/>
      <c r="L34" s="14"/>
      <c r="M34" s="14"/>
      <c r="N34" s="14"/>
      <c r="O34" s="14"/>
    </row>
    <row r="35" ht="15.75" customHeight="1">
      <c r="A35" s="13" t="str">
        <f t="shared" si="1"/>
        <v/>
      </c>
      <c r="B35" s="14"/>
      <c r="C35" s="14"/>
      <c r="D35" s="14"/>
      <c r="E35" s="14"/>
      <c r="F35" s="15"/>
      <c r="G35" s="14"/>
      <c r="H35" s="14"/>
      <c r="I35" s="14"/>
      <c r="J35" s="14"/>
      <c r="K35" s="14"/>
      <c r="L35" s="14"/>
      <c r="M35" s="14"/>
      <c r="N35" s="14"/>
      <c r="O35" s="14"/>
    </row>
    <row r="36" ht="15.75" customHeight="1">
      <c r="A36" s="13" t="str">
        <f t="shared" si="1"/>
        <v/>
      </c>
      <c r="B36" s="14"/>
      <c r="C36" s="14"/>
      <c r="D36" s="14"/>
      <c r="E36" s="14"/>
      <c r="F36" s="15"/>
      <c r="G36" s="14"/>
      <c r="H36" s="14"/>
      <c r="I36" s="14"/>
      <c r="J36" s="14"/>
      <c r="K36" s="14"/>
      <c r="L36" s="14"/>
      <c r="M36" s="14"/>
      <c r="N36" s="14"/>
      <c r="O36" s="14"/>
    </row>
    <row r="37" ht="15.75" customHeight="1">
      <c r="A37" s="13" t="str">
        <f t="shared" si="1"/>
        <v/>
      </c>
      <c r="B37" s="14"/>
      <c r="C37" s="14"/>
      <c r="D37" s="14"/>
      <c r="E37" s="14"/>
      <c r="F37" s="15"/>
      <c r="G37" s="14"/>
      <c r="H37" s="14"/>
      <c r="I37" s="14"/>
      <c r="J37" s="14"/>
      <c r="K37" s="14"/>
      <c r="L37" s="14"/>
      <c r="M37" s="14"/>
      <c r="N37" s="14"/>
      <c r="O37" s="14"/>
    </row>
    <row r="38" ht="15.75" customHeight="1">
      <c r="A38" s="13" t="str">
        <f t="shared" si="1"/>
        <v/>
      </c>
      <c r="B38" s="14"/>
      <c r="C38" s="14"/>
      <c r="D38" s="14"/>
      <c r="E38" s="14"/>
      <c r="F38" s="15"/>
      <c r="G38" s="14"/>
      <c r="H38" s="14"/>
      <c r="I38" s="14"/>
      <c r="J38" s="14"/>
      <c r="K38" s="14"/>
      <c r="L38" s="14"/>
      <c r="M38" s="14"/>
      <c r="N38" s="14"/>
      <c r="O38" s="14"/>
    </row>
    <row r="39" ht="15.75" customHeight="1">
      <c r="A39" s="13" t="str">
        <f t="shared" si="1"/>
        <v/>
      </c>
      <c r="B39" s="14"/>
      <c r="C39" s="14"/>
      <c r="D39" s="14"/>
      <c r="E39" s="14"/>
      <c r="F39" s="15"/>
      <c r="G39" s="14"/>
      <c r="H39" s="14"/>
      <c r="I39" s="14"/>
      <c r="J39" s="14"/>
      <c r="K39" s="14"/>
      <c r="L39" s="14"/>
      <c r="M39" s="14"/>
      <c r="N39" s="14"/>
      <c r="O39" s="14"/>
    </row>
    <row r="40" ht="15.75" customHeight="1">
      <c r="A40" s="13" t="str">
        <f t="shared" si="1"/>
        <v/>
      </c>
      <c r="B40" s="14"/>
      <c r="C40" s="14"/>
      <c r="D40" s="14"/>
      <c r="E40" s="14"/>
      <c r="F40" s="15"/>
      <c r="G40" s="14"/>
      <c r="H40" s="14"/>
      <c r="I40" s="14"/>
      <c r="J40" s="14"/>
      <c r="K40" s="14"/>
      <c r="L40" s="14"/>
      <c r="M40" s="14"/>
      <c r="N40" s="14"/>
      <c r="O40" s="14"/>
    </row>
    <row r="41" ht="15.75" customHeight="1">
      <c r="A41" s="13" t="str">
        <f t="shared" si="1"/>
        <v/>
      </c>
      <c r="B41" s="14"/>
      <c r="C41" s="14"/>
      <c r="D41" s="14"/>
      <c r="E41" s="14"/>
      <c r="F41" s="15"/>
      <c r="G41" s="14"/>
      <c r="H41" s="14"/>
      <c r="I41" s="14"/>
      <c r="J41" s="14"/>
      <c r="K41" s="14"/>
      <c r="L41" s="14"/>
      <c r="M41" s="14"/>
      <c r="N41" s="14"/>
      <c r="O41" s="14"/>
    </row>
    <row r="42" ht="15.75" customHeight="1">
      <c r="A42" s="13" t="str">
        <f t="shared" si="1"/>
        <v/>
      </c>
      <c r="B42" s="14"/>
      <c r="C42" s="14"/>
      <c r="D42" s="14"/>
      <c r="E42" s="14"/>
      <c r="F42" s="15"/>
      <c r="G42" s="14"/>
      <c r="H42" s="14"/>
      <c r="I42" s="14"/>
      <c r="J42" s="14"/>
      <c r="K42" s="14"/>
      <c r="L42" s="14"/>
      <c r="M42" s="14"/>
      <c r="N42" s="14"/>
      <c r="O42" s="14"/>
    </row>
    <row r="43" ht="15.75" customHeight="1">
      <c r="A43" s="13" t="str">
        <f t="shared" si="1"/>
        <v/>
      </c>
      <c r="B43" s="14"/>
      <c r="C43" s="14"/>
      <c r="D43" s="14"/>
      <c r="E43" s="14"/>
      <c r="F43" s="15"/>
      <c r="G43" s="14"/>
      <c r="H43" s="14"/>
      <c r="I43" s="14"/>
      <c r="J43" s="14"/>
      <c r="K43" s="14"/>
      <c r="L43" s="14"/>
      <c r="M43" s="14"/>
      <c r="N43" s="14"/>
      <c r="O43" s="14"/>
    </row>
    <row r="44" ht="15.75" customHeight="1">
      <c r="A44" s="13" t="str">
        <f t="shared" si="1"/>
        <v/>
      </c>
      <c r="B44" s="14"/>
      <c r="C44" s="14"/>
      <c r="D44" s="14"/>
      <c r="E44" s="14"/>
      <c r="F44" s="15"/>
      <c r="G44" s="14"/>
      <c r="H44" s="14"/>
      <c r="I44" s="14"/>
      <c r="J44" s="14"/>
      <c r="K44" s="14"/>
      <c r="L44" s="14"/>
      <c r="M44" s="14"/>
      <c r="N44" s="14"/>
      <c r="O44" s="14"/>
    </row>
    <row r="45" ht="15.75" customHeight="1">
      <c r="A45" s="13" t="str">
        <f t="shared" si="1"/>
        <v/>
      </c>
      <c r="B45" s="14"/>
      <c r="C45" s="14"/>
      <c r="D45" s="14"/>
      <c r="E45" s="14"/>
      <c r="F45" s="15"/>
      <c r="G45" s="14"/>
      <c r="H45" s="14"/>
      <c r="I45" s="14"/>
      <c r="J45" s="14"/>
      <c r="K45" s="14"/>
      <c r="L45" s="14"/>
      <c r="M45" s="14"/>
      <c r="N45" s="14"/>
      <c r="O45" s="14"/>
    </row>
    <row r="46" ht="15.75" customHeight="1">
      <c r="A46" s="13" t="str">
        <f t="shared" si="1"/>
        <v/>
      </c>
      <c r="B46" s="14"/>
      <c r="C46" s="14"/>
      <c r="D46" s="14"/>
      <c r="E46" s="14"/>
      <c r="F46" s="15"/>
      <c r="G46" s="14"/>
      <c r="H46" s="14"/>
      <c r="I46" s="14"/>
      <c r="J46" s="14"/>
      <c r="K46" s="14"/>
      <c r="L46" s="14"/>
      <c r="M46" s="14"/>
      <c r="N46" s="14"/>
      <c r="O46" s="14"/>
    </row>
    <row r="47" ht="15.75" customHeight="1">
      <c r="A47" s="13" t="str">
        <f t="shared" si="1"/>
        <v/>
      </c>
      <c r="B47" s="14"/>
      <c r="C47" s="14"/>
      <c r="D47" s="14"/>
      <c r="E47" s="14"/>
      <c r="F47" s="15"/>
      <c r="G47" s="14"/>
      <c r="H47" s="14"/>
      <c r="I47" s="14"/>
      <c r="J47" s="14"/>
      <c r="K47" s="14"/>
      <c r="L47" s="14"/>
      <c r="M47" s="14"/>
      <c r="N47" s="14"/>
      <c r="O47" s="14"/>
    </row>
    <row r="48" ht="15.75" customHeight="1">
      <c r="A48" s="13" t="str">
        <f t="shared" si="1"/>
        <v/>
      </c>
      <c r="B48" s="14"/>
      <c r="C48" s="14"/>
      <c r="D48" s="14"/>
      <c r="E48" s="14"/>
      <c r="F48" s="15"/>
      <c r="G48" s="14"/>
      <c r="H48" s="14"/>
      <c r="I48" s="14"/>
      <c r="J48" s="14"/>
      <c r="K48" s="14"/>
      <c r="L48" s="14"/>
      <c r="M48" s="14"/>
      <c r="N48" s="14"/>
      <c r="O48" s="14"/>
    </row>
    <row r="49" ht="15.75" customHeight="1">
      <c r="A49" s="13" t="str">
        <f t="shared" si="1"/>
        <v/>
      </c>
      <c r="B49" s="14"/>
      <c r="C49" s="14"/>
      <c r="D49" s="14"/>
      <c r="E49" s="14"/>
      <c r="F49" s="15"/>
      <c r="G49" s="14"/>
      <c r="H49" s="14"/>
      <c r="I49" s="14"/>
      <c r="J49" s="14"/>
      <c r="K49" s="14"/>
      <c r="L49" s="14"/>
      <c r="M49" s="14"/>
      <c r="N49" s="14"/>
      <c r="O49" s="14"/>
    </row>
    <row r="50" ht="15.75" customHeight="1">
      <c r="A50" s="13" t="str">
        <f t="shared" si="1"/>
        <v/>
      </c>
      <c r="B50" s="14"/>
      <c r="C50" s="14"/>
      <c r="D50" s="14"/>
      <c r="E50" s="14"/>
      <c r="F50" s="15"/>
      <c r="G50" s="14"/>
      <c r="H50" s="14"/>
      <c r="I50" s="14"/>
      <c r="J50" s="14"/>
      <c r="K50" s="14"/>
      <c r="L50" s="14"/>
      <c r="M50" s="14"/>
      <c r="N50" s="14"/>
      <c r="O50" s="14"/>
    </row>
    <row r="51" ht="15.75" customHeight="1">
      <c r="A51" s="13" t="str">
        <f t="shared" si="1"/>
        <v/>
      </c>
      <c r="B51" s="14"/>
      <c r="C51" s="14"/>
      <c r="D51" s="14"/>
      <c r="E51" s="14"/>
      <c r="F51" s="15"/>
      <c r="G51" s="14"/>
      <c r="H51" s="14"/>
      <c r="I51" s="14"/>
      <c r="J51" s="14"/>
      <c r="K51" s="14"/>
      <c r="L51" s="14"/>
      <c r="M51" s="14"/>
      <c r="N51" s="14"/>
      <c r="O51" s="14"/>
    </row>
    <row r="52" ht="15.75" customHeight="1">
      <c r="A52" s="13" t="str">
        <f t="shared" si="1"/>
        <v/>
      </c>
      <c r="B52" s="14"/>
      <c r="C52" s="14"/>
      <c r="D52" s="14"/>
      <c r="E52" s="14"/>
      <c r="F52" s="15"/>
      <c r="G52" s="14"/>
      <c r="H52" s="14"/>
      <c r="I52" s="14"/>
      <c r="J52" s="14"/>
      <c r="K52" s="14"/>
      <c r="L52" s="14"/>
      <c r="M52" s="14"/>
      <c r="N52" s="14"/>
      <c r="O52" s="14"/>
    </row>
    <row r="53" ht="15.75" customHeight="1">
      <c r="A53" s="13" t="str">
        <f t="shared" si="1"/>
        <v/>
      </c>
      <c r="B53" s="14"/>
      <c r="C53" s="14"/>
      <c r="D53" s="14"/>
      <c r="E53" s="14"/>
      <c r="F53" s="15"/>
      <c r="G53" s="14"/>
      <c r="H53" s="14"/>
      <c r="I53" s="14"/>
      <c r="J53" s="14"/>
      <c r="K53" s="14"/>
      <c r="L53" s="14"/>
      <c r="M53" s="14"/>
      <c r="N53" s="14"/>
      <c r="O53" s="14"/>
    </row>
    <row r="54" ht="15.75" customHeight="1">
      <c r="A54" s="13" t="str">
        <f t="shared" si="1"/>
        <v/>
      </c>
      <c r="B54" s="14"/>
      <c r="C54" s="14"/>
      <c r="D54" s="14"/>
      <c r="E54" s="14"/>
      <c r="F54" s="15"/>
      <c r="G54" s="14"/>
      <c r="H54" s="14"/>
      <c r="I54" s="14"/>
      <c r="J54" s="14"/>
      <c r="K54" s="14"/>
      <c r="L54" s="14"/>
      <c r="M54" s="14"/>
      <c r="N54" s="14"/>
      <c r="O54" s="14"/>
    </row>
    <row r="55" ht="15.75" customHeight="1">
      <c r="A55" s="13" t="str">
        <f t="shared" si="1"/>
        <v/>
      </c>
      <c r="B55" s="14"/>
      <c r="C55" s="14"/>
      <c r="D55" s="14"/>
      <c r="E55" s="14"/>
      <c r="F55" s="15"/>
      <c r="G55" s="14"/>
      <c r="H55" s="14"/>
      <c r="I55" s="14"/>
      <c r="J55" s="14"/>
      <c r="K55" s="14"/>
      <c r="L55" s="14"/>
      <c r="M55" s="14"/>
      <c r="N55" s="14"/>
      <c r="O55" s="14"/>
    </row>
    <row r="56" ht="15.75" customHeight="1">
      <c r="A56" s="13" t="str">
        <f t="shared" si="1"/>
        <v/>
      </c>
      <c r="B56" s="14"/>
      <c r="C56" s="14"/>
      <c r="D56" s="14"/>
      <c r="E56" s="14"/>
      <c r="F56" s="15"/>
      <c r="G56" s="14"/>
      <c r="H56" s="14"/>
      <c r="I56" s="14"/>
      <c r="J56" s="14"/>
      <c r="K56" s="14"/>
      <c r="L56" s="14"/>
      <c r="M56" s="14"/>
      <c r="N56" s="14"/>
      <c r="O56" s="14"/>
    </row>
    <row r="57" ht="15.75" customHeight="1">
      <c r="A57" s="13" t="str">
        <f t="shared" si="1"/>
        <v/>
      </c>
      <c r="B57" s="14"/>
      <c r="C57" s="14"/>
      <c r="D57" s="14"/>
      <c r="E57" s="14"/>
      <c r="F57" s="15"/>
      <c r="G57" s="14"/>
      <c r="H57" s="14"/>
      <c r="I57" s="14"/>
      <c r="J57" s="14"/>
      <c r="K57" s="14"/>
      <c r="L57" s="14"/>
      <c r="M57" s="14"/>
      <c r="N57" s="14"/>
      <c r="O57" s="14"/>
    </row>
    <row r="58" ht="15.75" customHeight="1">
      <c r="A58" s="13" t="str">
        <f t="shared" si="1"/>
        <v/>
      </c>
      <c r="B58" s="14"/>
      <c r="C58" s="14"/>
      <c r="D58" s="14"/>
      <c r="E58" s="14"/>
      <c r="F58" s="15"/>
      <c r="G58" s="14"/>
      <c r="H58" s="14"/>
      <c r="I58" s="14"/>
      <c r="J58" s="14"/>
      <c r="K58" s="14"/>
      <c r="L58" s="14"/>
      <c r="M58" s="14"/>
      <c r="N58" s="14"/>
      <c r="O58" s="14"/>
    </row>
    <row r="59" ht="15.75" customHeight="1">
      <c r="A59" s="13" t="str">
        <f t="shared" si="1"/>
        <v/>
      </c>
      <c r="B59" s="14"/>
      <c r="C59" s="14"/>
      <c r="D59" s="14"/>
      <c r="E59" s="14"/>
      <c r="F59" s="15"/>
      <c r="G59" s="14"/>
      <c r="H59" s="14"/>
      <c r="I59" s="14"/>
      <c r="J59" s="14"/>
      <c r="K59" s="14"/>
      <c r="L59" s="14"/>
      <c r="M59" s="14"/>
      <c r="N59" s="14"/>
      <c r="O59" s="14"/>
    </row>
    <row r="60" ht="15.75" customHeight="1">
      <c r="A60" s="13" t="str">
        <f t="shared" si="1"/>
        <v/>
      </c>
      <c r="B60" s="14"/>
      <c r="C60" s="14"/>
      <c r="D60" s="14"/>
      <c r="E60" s="14"/>
      <c r="F60" s="15"/>
      <c r="G60" s="14"/>
      <c r="H60" s="14"/>
      <c r="I60" s="14"/>
      <c r="J60" s="14"/>
      <c r="K60" s="14"/>
      <c r="L60" s="14"/>
      <c r="M60" s="14"/>
      <c r="N60" s="14"/>
      <c r="O60" s="14"/>
    </row>
    <row r="61" ht="15.75" customHeight="1">
      <c r="A61" s="13" t="str">
        <f t="shared" si="1"/>
        <v/>
      </c>
      <c r="B61" s="14"/>
      <c r="C61" s="14"/>
      <c r="D61" s="14"/>
      <c r="E61" s="14"/>
      <c r="F61" s="15"/>
      <c r="G61" s="14"/>
      <c r="H61" s="14"/>
      <c r="I61" s="14"/>
      <c r="J61" s="14"/>
      <c r="K61" s="14"/>
      <c r="L61" s="14"/>
      <c r="M61" s="14"/>
      <c r="N61" s="14"/>
      <c r="O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M2:M61">
      <formula1>Lists!$AC$2:$AC$4</formula1>
    </dataValidation>
    <dataValidation type="list" allowBlank="1" showInputMessage="1" showErrorMessage="1" prompt="Invalid ID - Please choose a valid actor_id from People_Roster." sqref="F2:F61">
      <formula1>People_Roster!$A$2:$A$61</formula1>
    </dataValidation>
    <dataValidation type="list" allowBlank="1" showInputMessage="1" showErrorMessage="1" prompt="Invalid entry - Please choose a value from the dropdown list only." sqref="B2:B61">
      <formula1>Lists!$Y$2:$Y$3</formula1>
    </dataValidation>
    <dataValidation type="list" allowBlank="1" showInputMessage="1" showErrorMessage="1" prompt="Invalid entry - Please choose a value from the dropdown list only." sqref="K2:K61">
      <formula1>Lists!$X$2:$X$5</formula1>
    </dataValidation>
    <dataValidation type="list" allowBlank="1" showInputMessage="1" showErrorMessage="1" prompt="Invalid entry - Please choose a value from the dropdown list only." sqref="D2:D61">
      <formula1>Lists!$Z$2:$Z$8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5" width="22.0"/>
    <col customWidth="1" min="16" max="26" width="8.71"/>
  </cols>
  <sheetData>
    <row r="1" ht="30.0" customHeight="1">
      <c r="A1" s="5" t="s">
        <v>353</v>
      </c>
      <c r="B1" s="5" t="s">
        <v>354</v>
      </c>
      <c r="C1" s="5" t="s">
        <v>355</v>
      </c>
      <c r="D1" s="5" t="s">
        <v>356</v>
      </c>
      <c r="E1" s="5" t="s">
        <v>357</v>
      </c>
      <c r="F1" s="5" t="s">
        <v>358</v>
      </c>
      <c r="G1" s="5" t="s">
        <v>359</v>
      </c>
      <c r="H1" s="5" t="s">
        <v>360</v>
      </c>
      <c r="I1" s="5" t="s">
        <v>361</v>
      </c>
      <c r="J1" s="5" t="s">
        <v>362</v>
      </c>
      <c r="K1" s="5" t="s">
        <v>363</v>
      </c>
      <c r="L1" s="5" t="s">
        <v>364</v>
      </c>
      <c r="M1" s="5" t="s">
        <v>365</v>
      </c>
      <c r="N1" s="5" t="s">
        <v>262</v>
      </c>
      <c r="O1" s="5" t="s">
        <v>156</v>
      </c>
    </row>
    <row r="2">
      <c r="A2" s="13" t="str">
        <f t="shared" ref="A2:A61" si="1">IF($B2="","","APR-"&amp;TEXT(ROW()-1,"000"))</f>
        <v/>
      </c>
      <c r="B2" s="15"/>
      <c r="C2" s="14"/>
      <c r="D2" s="14"/>
      <c r="E2" s="14"/>
      <c r="F2" s="14"/>
      <c r="G2" s="14"/>
      <c r="H2" s="14"/>
      <c r="I2" s="14"/>
      <c r="J2" s="15"/>
      <c r="K2" s="14"/>
      <c r="L2" s="14"/>
      <c r="M2" s="14"/>
      <c r="N2" s="14"/>
      <c r="O2" s="14"/>
    </row>
    <row r="3">
      <c r="A3" s="13" t="str">
        <f t="shared" si="1"/>
        <v/>
      </c>
      <c r="B3" s="15"/>
      <c r="C3" s="14"/>
      <c r="D3" s="14"/>
      <c r="E3" s="14"/>
      <c r="F3" s="14"/>
      <c r="G3" s="14"/>
      <c r="H3" s="14"/>
      <c r="I3" s="14"/>
      <c r="J3" s="15"/>
      <c r="K3" s="14"/>
      <c r="L3" s="14"/>
      <c r="M3" s="14"/>
      <c r="N3" s="14"/>
      <c r="O3" s="14"/>
    </row>
    <row r="4">
      <c r="A4" s="13" t="str">
        <f t="shared" si="1"/>
        <v/>
      </c>
      <c r="B4" s="15"/>
      <c r="C4" s="14"/>
      <c r="D4" s="14"/>
      <c r="E4" s="14"/>
      <c r="F4" s="14"/>
      <c r="G4" s="14"/>
      <c r="H4" s="14"/>
      <c r="I4" s="14"/>
      <c r="J4" s="15"/>
      <c r="K4" s="14"/>
      <c r="L4" s="14"/>
      <c r="M4" s="14"/>
      <c r="N4" s="14"/>
      <c r="O4" s="14"/>
    </row>
    <row r="5">
      <c r="A5" s="13" t="str">
        <f t="shared" si="1"/>
        <v/>
      </c>
      <c r="B5" s="15"/>
      <c r="C5" s="14"/>
      <c r="D5" s="14"/>
      <c r="E5" s="14"/>
      <c r="F5" s="14"/>
      <c r="G5" s="14"/>
      <c r="H5" s="14"/>
      <c r="I5" s="14"/>
      <c r="J5" s="15"/>
      <c r="K5" s="14"/>
      <c r="L5" s="14"/>
      <c r="M5" s="14"/>
      <c r="N5" s="14"/>
      <c r="O5" s="14"/>
    </row>
    <row r="6">
      <c r="A6" s="13" t="str">
        <f t="shared" si="1"/>
        <v/>
      </c>
      <c r="B6" s="15"/>
      <c r="C6" s="14"/>
      <c r="D6" s="14"/>
      <c r="E6" s="14"/>
      <c r="F6" s="14"/>
      <c r="G6" s="14"/>
      <c r="H6" s="14"/>
      <c r="I6" s="14"/>
      <c r="J6" s="15"/>
      <c r="K6" s="14"/>
      <c r="L6" s="14"/>
      <c r="M6" s="14"/>
      <c r="N6" s="14"/>
      <c r="O6" s="14"/>
    </row>
    <row r="7">
      <c r="A7" s="13" t="str">
        <f t="shared" si="1"/>
        <v/>
      </c>
      <c r="B7" s="15"/>
      <c r="C7" s="14"/>
      <c r="D7" s="14"/>
      <c r="E7" s="14"/>
      <c r="F7" s="14"/>
      <c r="G7" s="14"/>
      <c r="H7" s="14"/>
      <c r="I7" s="14"/>
      <c r="J7" s="15"/>
      <c r="K7" s="14"/>
      <c r="L7" s="14"/>
      <c r="M7" s="14"/>
      <c r="N7" s="14"/>
      <c r="O7" s="14"/>
    </row>
    <row r="8">
      <c r="A8" s="13" t="str">
        <f t="shared" si="1"/>
        <v/>
      </c>
      <c r="B8" s="15"/>
      <c r="C8" s="14"/>
      <c r="D8" s="14"/>
      <c r="E8" s="14"/>
      <c r="F8" s="14"/>
      <c r="G8" s="14"/>
      <c r="H8" s="14"/>
      <c r="I8" s="14"/>
      <c r="J8" s="15"/>
      <c r="K8" s="14"/>
      <c r="L8" s="14"/>
      <c r="M8" s="14"/>
      <c r="N8" s="14"/>
      <c r="O8" s="14"/>
    </row>
    <row r="9">
      <c r="A9" s="13" t="str">
        <f t="shared" si="1"/>
        <v/>
      </c>
      <c r="B9" s="15"/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</row>
    <row r="10">
      <c r="A10" s="13" t="str">
        <f t="shared" si="1"/>
        <v/>
      </c>
      <c r="B10" s="15"/>
      <c r="C10" s="14"/>
      <c r="D10" s="14"/>
      <c r="E10" s="14"/>
      <c r="F10" s="14"/>
      <c r="G10" s="14"/>
      <c r="H10" s="14"/>
      <c r="I10" s="14"/>
      <c r="J10" s="15"/>
      <c r="K10" s="14"/>
      <c r="L10" s="14"/>
      <c r="M10" s="14"/>
      <c r="N10" s="14"/>
      <c r="O10" s="14"/>
    </row>
    <row r="11">
      <c r="A11" s="13" t="str">
        <f t="shared" si="1"/>
        <v/>
      </c>
      <c r="B11" s="15"/>
      <c r="C11" s="14"/>
      <c r="D11" s="14"/>
      <c r="E11" s="14"/>
      <c r="F11" s="14"/>
      <c r="G11" s="14"/>
      <c r="H11" s="14"/>
      <c r="I11" s="14"/>
      <c r="J11" s="15"/>
      <c r="K11" s="14"/>
      <c r="L11" s="14"/>
      <c r="M11" s="14"/>
      <c r="N11" s="14"/>
      <c r="O11" s="14"/>
    </row>
    <row r="12">
      <c r="A12" s="13" t="str">
        <f t="shared" si="1"/>
        <v/>
      </c>
      <c r="B12" s="15"/>
      <c r="C12" s="14"/>
      <c r="D12" s="14"/>
      <c r="E12" s="14"/>
      <c r="F12" s="14"/>
      <c r="G12" s="14"/>
      <c r="H12" s="14"/>
      <c r="I12" s="14"/>
      <c r="J12" s="15"/>
      <c r="K12" s="14"/>
      <c r="L12" s="14"/>
      <c r="M12" s="14"/>
      <c r="N12" s="14"/>
      <c r="O12" s="14"/>
    </row>
    <row r="13">
      <c r="A13" s="13" t="str">
        <f t="shared" si="1"/>
        <v/>
      </c>
      <c r="B13" s="15"/>
      <c r="C13" s="14"/>
      <c r="D13" s="14"/>
      <c r="E13" s="14"/>
      <c r="F13" s="14"/>
      <c r="G13" s="14"/>
      <c r="H13" s="14"/>
      <c r="I13" s="14"/>
      <c r="J13" s="15"/>
      <c r="K13" s="14"/>
      <c r="L13" s="14"/>
      <c r="M13" s="14"/>
      <c r="N13" s="14"/>
      <c r="O13" s="14"/>
    </row>
    <row r="14">
      <c r="A14" s="13" t="str">
        <f t="shared" si="1"/>
        <v/>
      </c>
      <c r="B14" s="15"/>
      <c r="C14" s="14"/>
      <c r="D14" s="14"/>
      <c r="E14" s="14"/>
      <c r="F14" s="14"/>
      <c r="G14" s="14"/>
      <c r="H14" s="14"/>
      <c r="I14" s="14"/>
      <c r="J14" s="15"/>
      <c r="K14" s="14"/>
      <c r="L14" s="14"/>
      <c r="M14" s="14"/>
      <c r="N14" s="14"/>
      <c r="O14" s="14"/>
    </row>
    <row r="15">
      <c r="A15" s="13" t="str">
        <f t="shared" si="1"/>
        <v/>
      </c>
      <c r="B15" s="15"/>
      <c r="C15" s="14"/>
      <c r="D15" s="14"/>
      <c r="E15" s="14"/>
      <c r="F15" s="14"/>
      <c r="G15" s="14"/>
      <c r="H15" s="14"/>
      <c r="I15" s="14"/>
      <c r="J15" s="15"/>
      <c r="K15" s="14"/>
      <c r="L15" s="14"/>
      <c r="M15" s="14"/>
      <c r="N15" s="14"/>
      <c r="O15" s="14"/>
    </row>
    <row r="16">
      <c r="A16" s="13" t="str">
        <f t="shared" si="1"/>
        <v/>
      </c>
      <c r="B16" s="15"/>
      <c r="C16" s="14"/>
      <c r="D16" s="14"/>
      <c r="E16" s="14"/>
      <c r="F16" s="14"/>
      <c r="G16" s="14"/>
      <c r="H16" s="14"/>
      <c r="I16" s="14"/>
      <c r="J16" s="15"/>
      <c r="K16" s="14"/>
      <c r="L16" s="14"/>
      <c r="M16" s="14"/>
      <c r="N16" s="14"/>
      <c r="O16" s="14"/>
    </row>
    <row r="17">
      <c r="A17" s="13" t="str">
        <f t="shared" si="1"/>
        <v/>
      </c>
      <c r="B17" s="15"/>
      <c r="C17" s="14"/>
      <c r="D17" s="14"/>
      <c r="E17" s="14"/>
      <c r="F17" s="14"/>
      <c r="G17" s="14"/>
      <c r="H17" s="14"/>
      <c r="I17" s="14"/>
      <c r="J17" s="15"/>
      <c r="K17" s="14"/>
      <c r="L17" s="14"/>
      <c r="M17" s="14"/>
      <c r="N17" s="14"/>
      <c r="O17" s="14"/>
    </row>
    <row r="18">
      <c r="A18" s="13" t="str">
        <f t="shared" si="1"/>
        <v/>
      </c>
      <c r="B18" s="15"/>
      <c r="C18" s="14"/>
      <c r="D18" s="14"/>
      <c r="E18" s="14"/>
      <c r="F18" s="14"/>
      <c r="G18" s="14"/>
      <c r="H18" s="14"/>
      <c r="I18" s="14"/>
      <c r="J18" s="15"/>
      <c r="K18" s="14"/>
      <c r="L18" s="14"/>
      <c r="M18" s="14"/>
      <c r="N18" s="14"/>
      <c r="O18" s="14"/>
    </row>
    <row r="19">
      <c r="A19" s="13" t="str">
        <f t="shared" si="1"/>
        <v/>
      </c>
      <c r="B19" s="15"/>
      <c r="C19" s="14"/>
      <c r="D19" s="14"/>
      <c r="E19" s="14"/>
      <c r="F19" s="14"/>
      <c r="G19" s="14"/>
      <c r="H19" s="14"/>
      <c r="I19" s="14"/>
      <c r="J19" s="15"/>
      <c r="K19" s="14"/>
      <c r="L19" s="14"/>
      <c r="M19" s="14"/>
      <c r="N19" s="14"/>
      <c r="O19" s="14"/>
    </row>
    <row r="20">
      <c r="A20" s="13" t="str">
        <f t="shared" si="1"/>
        <v/>
      </c>
      <c r="B20" s="15"/>
      <c r="C20" s="14"/>
      <c r="D20" s="14"/>
      <c r="E20" s="14"/>
      <c r="F20" s="14"/>
      <c r="G20" s="14"/>
      <c r="H20" s="14"/>
      <c r="I20" s="14"/>
      <c r="J20" s="15"/>
      <c r="K20" s="14"/>
      <c r="L20" s="14"/>
      <c r="M20" s="14"/>
      <c r="N20" s="14"/>
      <c r="O20" s="14"/>
    </row>
    <row r="21" ht="15.75" customHeight="1">
      <c r="A21" s="13" t="str">
        <f t="shared" si="1"/>
        <v/>
      </c>
      <c r="B21" s="15"/>
      <c r="C21" s="14"/>
      <c r="D21" s="14"/>
      <c r="E21" s="14"/>
      <c r="F21" s="14"/>
      <c r="G21" s="14"/>
      <c r="H21" s="14"/>
      <c r="I21" s="14"/>
      <c r="J21" s="15"/>
      <c r="K21" s="14"/>
      <c r="L21" s="14"/>
      <c r="M21" s="14"/>
      <c r="N21" s="14"/>
      <c r="O21" s="14"/>
    </row>
    <row r="22" ht="15.75" customHeight="1">
      <c r="A22" s="13" t="str">
        <f t="shared" si="1"/>
        <v/>
      </c>
      <c r="B22" s="15"/>
      <c r="C22" s="14"/>
      <c r="D22" s="14"/>
      <c r="E22" s="14"/>
      <c r="F22" s="14"/>
      <c r="G22" s="14"/>
      <c r="H22" s="14"/>
      <c r="I22" s="14"/>
      <c r="J22" s="15"/>
      <c r="K22" s="14"/>
      <c r="L22" s="14"/>
      <c r="M22" s="14"/>
      <c r="N22" s="14"/>
      <c r="O22" s="14"/>
    </row>
    <row r="23" ht="15.75" customHeight="1">
      <c r="A23" s="13" t="str">
        <f t="shared" si="1"/>
        <v/>
      </c>
      <c r="B23" s="15"/>
      <c r="C23" s="14"/>
      <c r="D23" s="14"/>
      <c r="E23" s="14"/>
      <c r="F23" s="14"/>
      <c r="G23" s="14"/>
      <c r="H23" s="14"/>
      <c r="I23" s="14"/>
      <c r="J23" s="15"/>
      <c r="K23" s="14"/>
      <c r="L23" s="14"/>
      <c r="M23" s="14"/>
      <c r="N23" s="14"/>
      <c r="O23" s="14"/>
    </row>
    <row r="24" ht="15.75" customHeight="1">
      <c r="A24" s="13" t="str">
        <f t="shared" si="1"/>
        <v/>
      </c>
      <c r="B24" s="15"/>
      <c r="C24" s="14"/>
      <c r="D24" s="14"/>
      <c r="E24" s="14"/>
      <c r="F24" s="14"/>
      <c r="G24" s="14"/>
      <c r="H24" s="14"/>
      <c r="I24" s="14"/>
      <c r="J24" s="15"/>
      <c r="K24" s="14"/>
      <c r="L24" s="14"/>
      <c r="M24" s="14"/>
      <c r="N24" s="14"/>
      <c r="O24" s="14"/>
    </row>
    <row r="25" ht="15.75" customHeight="1">
      <c r="A25" s="13" t="str">
        <f t="shared" si="1"/>
        <v/>
      </c>
      <c r="B25" s="15"/>
      <c r="C25" s="14"/>
      <c r="D25" s="14"/>
      <c r="E25" s="14"/>
      <c r="F25" s="14"/>
      <c r="G25" s="14"/>
      <c r="H25" s="14"/>
      <c r="I25" s="14"/>
      <c r="J25" s="15"/>
      <c r="K25" s="14"/>
      <c r="L25" s="14"/>
      <c r="M25" s="14"/>
      <c r="N25" s="14"/>
      <c r="O25" s="14"/>
    </row>
    <row r="26" ht="15.75" customHeight="1">
      <c r="A26" s="13" t="str">
        <f t="shared" si="1"/>
        <v/>
      </c>
      <c r="B26" s="15"/>
      <c r="C26" s="14"/>
      <c r="D26" s="14"/>
      <c r="E26" s="14"/>
      <c r="F26" s="14"/>
      <c r="G26" s="14"/>
      <c r="H26" s="14"/>
      <c r="I26" s="14"/>
      <c r="J26" s="15"/>
      <c r="K26" s="14"/>
      <c r="L26" s="14"/>
      <c r="M26" s="14"/>
      <c r="N26" s="14"/>
      <c r="O26" s="14"/>
    </row>
    <row r="27" ht="15.75" customHeight="1">
      <c r="A27" s="13" t="str">
        <f t="shared" si="1"/>
        <v/>
      </c>
      <c r="B27" s="15"/>
      <c r="C27" s="14"/>
      <c r="D27" s="14"/>
      <c r="E27" s="14"/>
      <c r="F27" s="14"/>
      <c r="G27" s="14"/>
      <c r="H27" s="14"/>
      <c r="I27" s="14"/>
      <c r="J27" s="15"/>
      <c r="K27" s="14"/>
      <c r="L27" s="14"/>
      <c r="M27" s="14"/>
      <c r="N27" s="14"/>
      <c r="O27" s="14"/>
    </row>
    <row r="28" ht="15.75" customHeight="1">
      <c r="A28" s="13" t="str">
        <f t="shared" si="1"/>
        <v/>
      </c>
      <c r="B28" s="15"/>
      <c r="C28" s="14"/>
      <c r="D28" s="14"/>
      <c r="E28" s="14"/>
      <c r="F28" s="14"/>
      <c r="G28" s="14"/>
      <c r="H28" s="14"/>
      <c r="I28" s="14"/>
      <c r="J28" s="15"/>
      <c r="K28" s="14"/>
      <c r="L28" s="14"/>
      <c r="M28" s="14"/>
      <c r="N28" s="14"/>
      <c r="O28" s="14"/>
    </row>
    <row r="29" ht="15.75" customHeight="1">
      <c r="A29" s="13" t="str">
        <f t="shared" si="1"/>
        <v/>
      </c>
      <c r="B29" s="15"/>
      <c r="C29" s="14"/>
      <c r="D29" s="14"/>
      <c r="E29" s="14"/>
      <c r="F29" s="14"/>
      <c r="G29" s="14"/>
      <c r="H29" s="14"/>
      <c r="I29" s="14"/>
      <c r="J29" s="15"/>
      <c r="K29" s="14"/>
      <c r="L29" s="14"/>
      <c r="M29" s="14"/>
      <c r="N29" s="14"/>
      <c r="O29" s="14"/>
    </row>
    <row r="30" ht="15.75" customHeight="1">
      <c r="A30" s="13" t="str">
        <f t="shared" si="1"/>
        <v/>
      </c>
      <c r="B30" s="15"/>
      <c r="C30" s="14"/>
      <c r="D30" s="14"/>
      <c r="E30" s="14"/>
      <c r="F30" s="14"/>
      <c r="G30" s="14"/>
      <c r="H30" s="14"/>
      <c r="I30" s="14"/>
      <c r="J30" s="15"/>
      <c r="K30" s="14"/>
      <c r="L30" s="14"/>
      <c r="M30" s="14"/>
      <c r="N30" s="14"/>
      <c r="O30" s="14"/>
    </row>
    <row r="31" ht="15.75" customHeight="1">
      <c r="A31" s="13" t="str">
        <f t="shared" si="1"/>
        <v/>
      </c>
      <c r="B31" s="15"/>
      <c r="C31" s="14"/>
      <c r="D31" s="14"/>
      <c r="E31" s="14"/>
      <c r="F31" s="14"/>
      <c r="G31" s="14"/>
      <c r="H31" s="14"/>
      <c r="I31" s="14"/>
      <c r="J31" s="15"/>
      <c r="K31" s="14"/>
      <c r="L31" s="14"/>
      <c r="M31" s="14"/>
      <c r="N31" s="14"/>
      <c r="O31" s="14"/>
    </row>
    <row r="32" ht="15.75" customHeight="1">
      <c r="A32" s="13" t="str">
        <f t="shared" si="1"/>
        <v/>
      </c>
      <c r="B32" s="15"/>
      <c r="C32" s="14"/>
      <c r="D32" s="14"/>
      <c r="E32" s="14"/>
      <c r="F32" s="14"/>
      <c r="G32" s="14"/>
      <c r="H32" s="14"/>
      <c r="I32" s="14"/>
      <c r="J32" s="15"/>
      <c r="K32" s="14"/>
      <c r="L32" s="14"/>
      <c r="M32" s="14"/>
      <c r="N32" s="14"/>
      <c r="O32" s="14"/>
    </row>
    <row r="33" ht="15.75" customHeight="1">
      <c r="A33" s="13" t="str">
        <f t="shared" si="1"/>
        <v/>
      </c>
      <c r="B33" s="15"/>
      <c r="C33" s="14"/>
      <c r="D33" s="14"/>
      <c r="E33" s="14"/>
      <c r="F33" s="14"/>
      <c r="G33" s="14"/>
      <c r="H33" s="14"/>
      <c r="I33" s="14"/>
      <c r="J33" s="15"/>
      <c r="K33" s="14"/>
      <c r="L33" s="14"/>
      <c r="M33" s="14"/>
      <c r="N33" s="14"/>
      <c r="O33" s="14"/>
    </row>
    <row r="34" ht="15.75" customHeight="1">
      <c r="A34" s="13" t="str">
        <f t="shared" si="1"/>
        <v/>
      </c>
      <c r="B34" s="15"/>
      <c r="C34" s="14"/>
      <c r="D34" s="14"/>
      <c r="E34" s="14"/>
      <c r="F34" s="14"/>
      <c r="G34" s="14"/>
      <c r="H34" s="14"/>
      <c r="I34" s="14"/>
      <c r="J34" s="15"/>
      <c r="K34" s="14"/>
      <c r="L34" s="14"/>
      <c r="M34" s="14"/>
      <c r="N34" s="14"/>
      <c r="O34" s="14"/>
    </row>
    <row r="35" ht="15.75" customHeight="1">
      <c r="A35" s="13" t="str">
        <f t="shared" si="1"/>
        <v/>
      </c>
      <c r="B35" s="15"/>
      <c r="C35" s="14"/>
      <c r="D35" s="14"/>
      <c r="E35" s="14"/>
      <c r="F35" s="14"/>
      <c r="G35" s="14"/>
      <c r="H35" s="14"/>
      <c r="I35" s="14"/>
      <c r="J35" s="15"/>
      <c r="K35" s="14"/>
      <c r="L35" s="14"/>
      <c r="M35" s="14"/>
      <c r="N35" s="14"/>
      <c r="O35" s="14"/>
    </row>
    <row r="36" ht="15.75" customHeight="1">
      <c r="A36" s="13" t="str">
        <f t="shared" si="1"/>
        <v/>
      </c>
      <c r="B36" s="15"/>
      <c r="C36" s="14"/>
      <c r="D36" s="14"/>
      <c r="E36" s="14"/>
      <c r="F36" s="14"/>
      <c r="G36" s="14"/>
      <c r="H36" s="14"/>
      <c r="I36" s="14"/>
      <c r="J36" s="15"/>
      <c r="K36" s="14"/>
      <c r="L36" s="14"/>
      <c r="M36" s="14"/>
      <c r="N36" s="14"/>
      <c r="O36" s="14"/>
    </row>
    <row r="37" ht="15.75" customHeight="1">
      <c r="A37" s="13" t="str">
        <f t="shared" si="1"/>
        <v/>
      </c>
      <c r="B37" s="15"/>
      <c r="C37" s="14"/>
      <c r="D37" s="14"/>
      <c r="E37" s="14"/>
      <c r="F37" s="14"/>
      <c r="G37" s="14"/>
      <c r="H37" s="14"/>
      <c r="I37" s="14"/>
      <c r="J37" s="15"/>
      <c r="K37" s="14"/>
      <c r="L37" s="14"/>
      <c r="M37" s="14"/>
      <c r="N37" s="14"/>
      <c r="O37" s="14"/>
    </row>
    <row r="38" ht="15.75" customHeight="1">
      <c r="A38" s="13" t="str">
        <f t="shared" si="1"/>
        <v/>
      </c>
      <c r="B38" s="15"/>
      <c r="C38" s="14"/>
      <c r="D38" s="14"/>
      <c r="E38" s="14"/>
      <c r="F38" s="14"/>
      <c r="G38" s="14"/>
      <c r="H38" s="14"/>
      <c r="I38" s="14"/>
      <c r="J38" s="15"/>
      <c r="K38" s="14"/>
      <c r="L38" s="14"/>
      <c r="M38" s="14"/>
      <c r="N38" s="14"/>
      <c r="O38" s="14"/>
    </row>
    <row r="39" ht="15.75" customHeight="1">
      <c r="A39" s="13" t="str">
        <f t="shared" si="1"/>
        <v/>
      </c>
      <c r="B39" s="15"/>
      <c r="C39" s="14"/>
      <c r="D39" s="14"/>
      <c r="E39" s="14"/>
      <c r="F39" s="14"/>
      <c r="G39" s="14"/>
      <c r="H39" s="14"/>
      <c r="I39" s="14"/>
      <c r="J39" s="15"/>
      <c r="K39" s="14"/>
      <c r="L39" s="14"/>
      <c r="M39" s="14"/>
      <c r="N39" s="14"/>
      <c r="O39" s="14"/>
    </row>
    <row r="40" ht="15.75" customHeight="1">
      <c r="A40" s="13" t="str">
        <f t="shared" si="1"/>
        <v/>
      </c>
      <c r="B40" s="15"/>
      <c r="C40" s="14"/>
      <c r="D40" s="14"/>
      <c r="E40" s="14"/>
      <c r="F40" s="14"/>
      <c r="G40" s="14"/>
      <c r="H40" s="14"/>
      <c r="I40" s="14"/>
      <c r="J40" s="15"/>
      <c r="K40" s="14"/>
      <c r="L40" s="14"/>
      <c r="M40" s="14"/>
      <c r="N40" s="14"/>
      <c r="O40" s="14"/>
    </row>
    <row r="41" ht="15.75" customHeight="1">
      <c r="A41" s="13" t="str">
        <f t="shared" si="1"/>
        <v/>
      </c>
      <c r="B41" s="15"/>
      <c r="C41" s="14"/>
      <c r="D41" s="14"/>
      <c r="E41" s="14"/>
      <c r="F41" s="14"/>
      <c r="G41" s="14"/>
      <c r="H41" s="14"/>
      <c r="I41" s="14"/>
      <c r="J41" s="15"/>
      <c r="K41" s="14"/>
      <c r="L41" s="14"/>
      <c r="M41" s="14"/>
      <c r="N41" s="14"/>
      <c r="O41" s="14"/>
    </row>
    <row r="42" ht="15.75" customHeight="1">
      <c r="A42" s="13" t="str">
        <f t="shared" si="1"/>
        <v/>
      </c>
      <c r="B42" s="15"/>
      <c r="C42" s="14"/>
      <c r="D42" s="14"/>
      <c r="E42" s="14"/>
      <c r="F42" s="14"/>
      <c r="G42" s="14"/>
      <c r="H42" s="14"/>
      <c r="I42" s="14"/>
      <c r="J42" s="15"/>
      <c r="K42" s="14"/>
      <c r="L42" s="14"/>
      <c r="M42" s="14"/>
      <c r="N42" s="14"/>
      <c r="O42" s="14"/>
    </row>
    <row r="43" ht="15.75" customHeight="1">
      <c r="A43" s="13" t="str">
        <f t="shared" si="1"/>
        <v/>
      </c>
      <c r="B43" s="15"/>
      <c r="C43" s="14"/>
      <c r="D43" s="14"/>
      <c r="E43" s="14"/>
      <c r="F43" s="14"/>
      <c r="G43" s="14"/>
      <c r="H43" s="14"/>
      <c r="I43" s="14"/>
      <c r="J43" s="15"/>
      <c r="K43" s="14"/>
      <c r="L43" s="14"/>
      <c r="M43" s="14"/>
      <c r="N43" s="14"/>
      <c r="O43" s="14"/>
    </row>
    <row r="44" ht="15.75" customHeight="1">
      <c r="A44" s="13" t="str">
        <f t="shared" si="1"/>
        <v/>
      </c>
      <c r="B44" s="15"/>
      <c r="C44" s="14"/>
      <c r="D44" s="14"/>
      <c r="E44" s="14"/>
      <c r="F44" s="14"/>
      <c r="G44" s="14"/>
      <c r="H44" s="14"/>
      <c r="I44" s="14"/>
      <c r="J44" s="15"/>
      <c r="K44" s="14"/>
      <c r="L44" s="14"/>
      <c r="M44" s="14"/>
      <c r="N44" s="14"/>
      <c r="O44" s="14"/>
    </row>
    <row r="45" ht="15.75" customHeight="1">
      <c r="A45" s="13" t="str">
        <f t="shared" si="1"/>
        <v/>
      </c>
      <c r="B45" s="15"/>
      <c r="C45" s="14"/>
      <c r="D45" s="14"/>
      <c r="E45" s="14"/>
      <c r="F45" s="14"/>
      <c r="G45" s="14"/>
      <c r="H45" s="14"/>
      <c r="I45" s="14"/>
      <c r="J45" s="15"/>
      <c r="K45" s="14"/>
      <c r="L45" s="14"/>
      <c r="M45" s="14"/>
      <c r="N45" s="14"/>
      <c r="O45" s="14"/>
    </row>
    <row r="46" ht="15.75" customHeight="1">
      <c r="A46" s="13" t="str">
        <f t="shared" si="1"/>
        <v/>
      </c>
      <c r="B46" s="15"/>
      <c r="C46" s="14"/>
      <c r="D46" s="14"/>
      <c r="E46" s="14"/>
      <c r="F46" s="14"/>
      <c r="G46" s="14"/>
      <c r="H46" s="14"/>
      <c r="I46" s="14"/>
      <c r="J46" s="15"/>
      <c r="K46" s="14"/>
      <c r="L46" s="14"/>
      <c r="M46" s="14"/>
      <c r="N46" s="14"/>
      <c r="O46" s="14"/>
    </row>
    <row r="47" ht="15.75" customHeight="1">
      <c r="A47" s="13" t="str">
        <f t="shared" si="1"/>
        <v/>
      </c>
      <c r="B47" s="15"/>
      <c r="C47" s="14"/>
      <c r="D47" s="14"/>
      <c r="E47" s="14"/>
      <c r="F47" s="14"/>
      <c r="G47" s="14"/>
      <c r="H47" s="14"/>
      <c r="I47" s="14"/>
      <c r="J47" s="15"/>
      <c r="K47" s="14"/>
      <c r="L47" s="14"/>
      <c r="M47" s="14"/>
      <c r="N47" s="14"/>
      <c r="O47" s="14"/>
    </row>
    <row r="48" ht="15.75" customHeight="1">
      <c r="A48" s="13" t="str">
        <f t="shared" si="1"/>
        <v/>
      </c>
      <c r="B48" s="15"/>
      <c r="C48" s="14"/>
      <c r="D48" s="14"/>
      <c r="E48" s="14"/>
      <c r="F48" s="14"/>
      <c r="G48" s="14"/>
      <c r="H48" s="14"/>
      <c r="I48" s="14"/>
      <c r="J48" s="15"/>
      <c r="K48" s="14"/>
      <c r="L48" s="14"/>
      <c r="M48" s="14"/>
      <c r="N48" s="14"/>
      <c r="O48" s="14"/>
    </row>
    <row r="49" ht="15.75" customHeight="1">
      <c r="A49" s="13" t="str">
        <f t="shared" si="1"/>
        <v/>
      </c>
      <c r="B49" s="15"/>
      <c r="C49" s="14"/>
      <c r="D49" s="14"/>
      <c r="E49" s="14"/>
      <c r="F49" s="14"/>
      <c r="G49" s="14"/>
      <c r="H49" s="14"/>
      <c r="I49" s="14"/>
      <c r="J49" s="15"/>
      <c r="K49" s="14"/>
      <c r="L49" s="14"/>
      <c r="M49" s="14"/>
      <c r="N49" s="14"/>
      <c r="O49" s="14"/>
    </row>
    <row r="50" ht="15.75" customHeight="1">
      <c r="A50" s="13" t="str">
        <f t="shared" si="1"/>
        <v/>
      </c>
      <c r="B50" s="15"/>
      <c r="C50" s="14"/>
      <c r="D50" s="14"/>
      <c r="E50" s="14"/>
      <c r="F50" s="14"/>
      <c r="G50" s="14"/>
      <c r="H50" s="14"/>
      <c r="I50" s="14"/>
      <c r="J50" s="15"/>
      <c r="K50" s="14"/>
      <c r="L50" s="14"/>
      <c r="M50" s="14"/>
      <c r="N50" s="14"/>
      <c r="O50" s="14"/>
    </row>
    <row r="51" ht="15.75" customHeight="1">
      <c r="A51" s="13" t="str">
        <f t="shared" si="1"/>
        <v/>
      </c>
      <c r="B51" s="15"/>
      <c r="C51" s="14"/>
      <c r="D51" s="14"/>
      <c r="E51" s="14"/>
      <c r="F51" s="14"/>
      <c r="G51" s="14"/>
      <c r="H51" s="14"/>
      <c r="I51" s="14"/>
      <c r="J51" s="15"/>
      <c r="K51" s="14"/>
      <c r="L51" s="14"/>
      <c r="M51" s="14"/>
      <c r="N51" s="14"/>
      <c r="O51" s="14"/>
    </row>
    <row r="52" ht="15.75" customHeight="1">
      <c r="A52" s="13" t="str">
        <f t="shared" si="1"/>
        <v/>
      </c>
      <c r="B52" s="15"/>
      <c r="C52" s="14"/>
      <c r="D52" s="14"/>
      <c r="E52" s="14"/>
      <c r="F52" s="14"/>
      <c r="G52" s="14"/>
      <c r="H52" s="14"/>
      <c r="I52" s="14"/>
      <c r="J52" s="15"/>
      <c r="K52" s="14"/>
      <c r="L52" s="14"/>
      <c r="M52" s="14"/>
      <c r="N52" s="14"/>
      <c r="O52" s="14"/>
    </row>
    <row r="53" ht="15.75" customHeight="1">
      <c r="A53" s="13" t="str">
        <f t="shared" si="1"/>
        <v/>
      </c>
      <c r="B53" s="15"/>
      <c r="C53" s="14"/>
      <c r="D53" s="14"/>
      <c r="E53" s="14"/>
      <c r="F53" s="14"/>
      <c r="G53" s="14"/>
      <c r="H53" s="14"/>
      <c r="I53" s="14"/>
      <c r="J53" s="15"/>
      <c r="K53" s="14"/>
      <c r="L53" s="14"/>
      <c r="M53" s="14"/>
      <c r="N53" s="14"/>
      <c r="O53" s="14"/>
    </row>
    <row r="54" ht="15.75" customHeight="1">
      <c r="A54" s="13" t="str">
        <f t="shared" si="1"/>
        <v/>
      </c>
      <c r="B54" s="15"/>
      <c r="C54" s="14"/>
      <c r="D54" s="14"/>
      <c r="E54" s="14"/>
      <c r="F54" s="14"/>
      <c r="G54" s="14"/>
      <c r="H54" s="14"/>
      <c r="I54" s="14"/>
      <c r="J54" s="15"/>
      <c r="K54" s="14"/>
      <c r="L54" s="14"/>
      <c r="M54" s="14"/>
      <c r="N54" s="14"/>
      <c r="O54" s="14"/>
    </row>
    <row r="55" ht="15.75" customHeight="1">
      <c r="A55" s="13" t="str">
        <f t="shared" si="1"/>
        <v/>
      </c>
      <c r="B55" s="15"/>
      <c r="C55" s="14"/>
      <c r="D55" s="14"/>
      <c r="E55" s="14"/>
      <c r="F55" s="14"/>
      <c r="G55" s="14"/>
      <c r="H55" s="14"/>
      <c r="I55" s="14"/>
      <c r="J55" s="15"/>
      <c r="K55" s="14"/>
      <c r="L55" s="14"/>
      <c r="M55" s="14"/>
      <c r="N55" s="14"/>
      <c r="O55" s="14"/>
    </row>
    <row r="56" ht="15.75" customHeight="1">
      <c r="A56" s="13" t="str">
        <f t="shared" si="1"/>
        <v/>
      </c>
      <c r="B56" s="15"/>
      <c r="C56" s="14"/>
      <c r="D56" s="14"/>
      <c r="E56" s="14"/>
      <c r="F56" s="14"/>
      <c r="G56" s="14"/>
      <c r="H56" s="14"/>
      <c r="I56" s="14"/>
      <c r="J56" s="15"/>
      <c r="K56" s="14"/>
      <c r="L56" s="14"/>
      <c r="M56" s="14"/>
      <c r="N56" s="14"/>
      <c r="O56" s="14"/>
    </row>
    <row r="57" ht="15.75" customHeight="1">
      <c r="A57" s="13" t="str">
        <f t="shared" si="1"/>
        <v/>
      </c>
      <c r="B57" s="15"/>
      <c r="C57" s="14"/>
      <c r="D57" s="14"/>
      <c r="E57" s="14"/>
      <c r="F57" s="14"/>
      <c r="G57" s="14"/>
      <c r="H57" s="14"/>
      <c r="I57" s="14"/>
      <c r="J57" s="15"/>
      <c r="K57" s="14"/>
      <c r="L57" s="14"/>
      <c r="M57" s="14"/>
      <c r="N57" s="14"/>
      <c r="O57" s="14"/>
    </row>
    <row r="58" ht="15.75" customHeight="1">
      <c r="A58" s="13" t="str">
        <f t="shared" si="1"/>
        <v/>
      </c>
      <c r="B58" s="15"/>
      <c r="C58" s="14"/>
      <c r="D58" s="14"/>
      <c r="E58" s="14"/>
      <c r="F58" s="14"/>
      <c r="G58" s="14"/>
      <c r="H58" s="14"/>
      <c r="I58" s="14"/>
      <c r="J58" s="15"/>
      <c r="K58" s="14"/>
      <c r="L58" s="14"/>
      <c r="M58" s="14"/>
      <c r="N58" s="14"/>
      <c r="O58" s="14"/>
    </row>
    <row r="59" ht="15.75" customHeight="1">
      <c r="A59" s="13" t="str">
        <f t="shared" si="1"/>
        <v/>
      </c>
      <c r="B59" s="15"/>
      <c r="C59" s="14"/>
      <c r="D59" s="14"/>
      <c r="E59" s="14"/>
      <c r="F59" s="14"/>
      <c r="G59" s="14"/>
      <c r="H59" s="14"/>
      <c r="I59" s="14"/>
      <c r="J59" s="15"/>
      <c r="K59" s="14"/>
      <c r="L59" s="14"/>
      <c r="M59" s="14"/>
      <c r="N59" s="14"/>
      <c r="O59" s="14"/>
    </row>
    <row r="60" ht="15.75" customHeight="1">
      <c r="A60" s="13" t="str">
        <f t="shared" si="1"/>
        <v/>
      </c>
      <c r="B60" s="15"/>
      <c r="C60" s="14"/>
      <c r="D60" s="14"/>
      <c r="E60" s="14"/>
      <c r="F60" s="14"/>
      <c r="G60" s="14"/>
      <c r="H60" s="14"/>
      <c r="I60" s="14"/>
      <c r="J60" s="15"/>
      <c r="K60" s="14"/>
      <c r="L60" s="14"/>
      <c r="M60" s="14"/>
      <c r="N60" s="14"/>
      <c r="O60" s="14"/>
    </row>
    <row r="61" ht="15.75" customHeight="1">
      <c r="A61" s="13" t="str">
        <f t="shared" si="1"/>
        <v/>
      </c>
      <c r="B61" s="15"/>
      <c r="C61" s="14"/>
      <c r="D61" s="14"/>
      <c r="E61" s="14"/>
      <c r="F61" s="14"/>
      <c r="G61" s="14"/>
      <c r="H61" s="14"/>
      <c r="I61" s="14"/>
      <c r="J61" s="15"/>
      <c r="K61" s="14"/>
      <c r="L61" s="14"/>
      <c r="M61" s="14"/>
      <c r="N61" s="14"/>
      <c r="O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K2:K61">
      <formula1>Lists!$V$2:$V$4</formula1>
    </dataValidation>
    <dataValidation type="list" allowBlank="1" showInputMessage="1" showErrorMessage="1" prompt="Invalid ID - Please choose a valid actor_id from People_Roster." sqref="J2:J61">
      <formula1>People_Roster!$A$2:$A$61</formula1>
    </dataValidation>
    <dataValidation type="list" allowBlank="1" showInputMessage="1" showErrorMessage="1" prompt="Invalid entry - Please choose a value from the dropdown list only." sqref="I2:I61">
      <formula1>Lists!$W$2:$W$3</formula1>
    </dataValidation>
    <dataValidation type="list" allowBlank="1" showInputMessage="1" showErrorMessage="1" prompt="Invalid entry - Please choose a value from the dropdown list only." sqref="C2:C61">
      <formula1>Lists!$AB$2:$AB$9</formula1>
    </dataValidation>
    <dataValidation type="list" allowBlank="1" showInputMessage="1" showErrorMessage="1" prompt="Invalid ID - Please choose a valid action_id from Action_Log." sqref="B2:B61">
      <formula1>Action_Log!$A$2:$A$61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6" width="22.0"/>
  </cols>
  <sheetData>
    <row r="1" ht="30.0" customHeight="1">
      <c r="A1" s="5" t="s">
        <v>366</v>
      </c>
      <c r="B1" s="5" t="s">
        <v>273</v>
      </c>
      <c r="C1" s="5" t="s">
        <v>208</v>
      </c>
      <c r="D1" s="5" t="s">
        <v>214</v>
      </c>
      <c r="E1" s="5" t="s">
        <v>220</v>
      </c>
      <c r="F1" s="5" t="s">
        <v>224</v>
      </c>
      <c r="G1" s="5" t="s">
        <v>225</v>
      </c>
      <c r="H1" s="5" t="s">
        <v>281</v>
      </c>
      <c r="I1" s="5" t="s">
        <v>282</v>
      </c>
      <c r="J1" s="5" t="s">
        <v>283</v>
      </c>
      <c r="K1" s="5" t="s">
        <v>293</v>
      </c>
      <c r="L1" s="5" t="s">
        <v>294</v>
      </c>
      <c r="M1" s="5" t="s">
        <v>268</v>
      </c>
      <c r="N1" s="5" t="s">
        <v>367</v>
      </c>
      <c r="O1" s="5" t="s">
        <v>368</v>
      </c>
      <c r="P1" s="5" t="s">
        <v>284</v>
      </c>
      <c r="Q1" s="5" t="s">
        <v>369</v>
      </c>
      <c r="R1" s="5" t="s">
        <v>370</v>
      </c>
      <c r="S1" s="5" t="s">
        <v>371</v>
      </c>
      <c r="T1" s="5" t="s">
        <v>372</v>
      </c>
      <c r="U1" s="5" t="s">
        <v>373</v>
      </c>
      <c r="V1" s="5" t="s">
        <v>295</v>
      </c>
      <c r="W1" s="5" t="s">
        <v>296</v>
      </c>
      <c r="X1" s="5" t="s">
        <v>297</v>
      </c>
      <c r="Y1" s="5" t="s">
        <v>298</v>
      </c>
      <c r="Z1" s="5" t="s">
        <v>262</v>
      </c>
    </row>
    <row r="2">
      <c r="A2" s="13" t="str">
        <f t="shared" ref="A2:A61" si="1">IF($B2="","","LIV-"&amp;TEXT(ROW()-1,"000"))</f>
        <v/>
      </c>
      <c r="B2" s="15"/>
      <c r="C2" s="15"/>
      <c r="D2" s="15"/>
      <c r="E2" s="14"/>
      <c r="F2" s="14"/>
      <c r="G2" s="14"/>
      <c r="H2" s="14"/>
      <c r="I2" s="14"/>
      <c r="J2" s="14"/>
      <c r="K2" s="14"/>
      <c r="L2" s="14"/>
      <c r="M2" s="13" t="str">
        <f t="shared" ref="M2:M61" si="2">IF($B2="","",IF($K2="","",$K2-$L2))</f>
        <v/>
      </c>
      <c r="N2" s="13" t="str">
        <f t="shared" ref="N2:N61" si="3">IF($B2="","",IF(OR($F2="",$F2=0),"",ROUND($H2/$F2,3)))</f>
        <v/>
      </c>
      <c r="O2" s="13" t="str">
        <f t="shared" ref="O2:O61" si="4">IF($B2="","",IF(OR($H2="",$H2=0),"",ROUND($K2/$H2,0)))</f>
        <v/>
      </c>
      <c r="P2" s="14"/>
      <c r="Q2" s="14"/>
      <c r="R2" s="14"/>
      <c r="S2" s="14"/>
      <c r="T2" s="14"/>
      <c r="U2" s="14"/>
      <c r="V2" s="14"/>
      <c r="W2" s="14"/>
      <c r="X2" s="15"/>
      <c r="Y2" s="14"/>
      <c r="Z2" s="14"/>
    </row>
    <row r="3">
      <c r="A3" s="13" t="str">
        <f t="shared" si="1"/>
        <v/>
      </c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3" t="str">
        <f t="shared" si="2"/>
        <v/>
      </c>
      <c r="N3" s="13" t="str">
        <f t="shared" si="3"/>
        <v/>
      </c>
      <c r="O3" s="13" t="str">
        <f t="shared" si="4"/>
        <v/>
      </c>
      <c r="P3" s="14"/>
      <c r="Q3" s="14"/>
      <c r="R3" s="14"/>
      <c r="S3" s="14"/>
      <c r="T3" s="14"/>
      <c r="U3" s="14"/>
      <c r="V3" s="14"/>
      <c r="W3" s="14"/>
      <c r="X3" s="15"/>
      <c r="Y3" s="14"/>
      <c r="Z3" s="14"/>
    </row>
    <row r="4">
      <c r="A4" s="13" t="str">
        <f t="shared" si="1"/>
        <v/>
      </c>
      <c r="B4" s="15"/>
      <c r="C4" s="15"/>
      <c r="D4" s="15"/>
      <c r="E4" s="14"/>
      <c r="F4" s="14"/>
      <c r="G4" s="14"/>
      <c r="H4" s="14"/>
      <c r="I4" s="14"/>
      <c r="J4" s="14"/>
      <c r="K4" s="14"/>
      <c r="L4" s="14"/>
      <c r="M4" s="13" t="str">
        <f t="shared" si="2"/>
        <v/>
      </c>
      <c r="N4" s="13" t="str">
        <f t="shared" si="3"/>
        <v/>
      </c>
      <c r="O4" s="13" t="str">
        <f t="shared" si="4"/>
        <v/>
      </c>
      <c r="P4" s="14"/>
      <c r="Q4" s="14"/>
      <c r="R4" s="14"/>
      <c r="S4" s="14"/>
      <c r="T4" s="14"/>
      <c r="U4" s="14"/>
      <c r="V4" s="14"/>
      <c r="W4" s="14"/>
      <c r="X4" s="15"/>
      <c r="Y4" s="14"/>
      <c r="Z4" s="14"/>
    </row>
    <row r="5">
      <c r="A5" s="13" t="str">
        <f t="shared" si="1"/>
        <v/>
      </c>
      <c r="B5" s="15"/>
      <c r="C5" s="15"/>
      <c r="D5" s="15"/>
      <c r="E5" s="14"/>
      <c r="F5" s="14"/>
      <c r="G5" s="14"/>
      <c r="H5" s="14"/>
      <c r="I5" s="14"/>
      <c r="J5" s="14"/>
      <c r="K5" s="14"/>
      <c r="L5" s="14"/>
      <c r="M5" s="13" t="str">
        <f t="shared" si="2"/>
        <v/>
      </c>
      <c r="N5" s="13" t="str">
        <f t="shared" si="3"/>
        <v/>
      </c>
      <c r="O5" s="13" t="str">
        <f t="shared" si="4"/>
        <v/>
      </c>
      <c r="P5" s="14"/>
      <c r="Q5" s="14"/>
      <c r="R5" s="14"/>
      <c r="S5" s="14"/>
      <c r="T5" s="14"/>
      <c r="U5" s="14"/>
      <c r="V5" s="14"/>
      <c r="W5" s="14"/>
      <c r="X5" s="15"/>
      <c r="Y5" s="14"/>
      <c r="Z5" s="14"/>
    </row>
    <row r="6">
      <c r="A6" s="13" t="str">
        <f t="shared" si="1"/>
        <v/>
      </c>
      <c r="B6" s="15"/>
      <c r="C6" s="15"/>
      <c r="D6" s="15"/>
      <c r="E6" s="14"/>
      <c r="F6" s="14"/>
      <c r="G6" s="14"/>
      <c r="H6" s="14"/>
      <c r="I6" s="14"/>
      <c r="J6" s="14"/>
      <c r="K6" s="14"/>
      <c r="L6" s="14"/>
      <c r="M6" s="13" t="str">
        <f t="shared" si="2"/>
        <v/>
      </c>
      <c r="N6" s="13" t="str">
        <f t="shared" si="3"/>
        <v/>
      </c>
      <c r="O6" s="13" t="str">
        <f t="shared" si="4"/>
        <v/>
      </c>
      <c r="P6" s="14"/>
      <c r="Q6" s="14"/>
      <c r="R6" s="14"/>
      <c r="S6" s="14"/>
      <c r="T6" s="14"/>
      <c r="U6" s="14"/>
      <c r="V6" s="14"/>
      <c r="W6" s="14"/>
      <c r="X6" s="15"/>
      <c r="Y6" s="14"/>
      <c r="Z6" s="14"/>
    </row>
    <row r="7">
      <c r="A7" s="13" t="str">
        <f t="shared" si="1"/>
        <v/>
      </c>
      <c r="B7" s="15"/>
      <c r="C7" s="15"/>
      <c r="D7" s="15"/>
      <c r="E7" s="14"/>
      <c r="F7" s="14"/>
      <c r="G7" s="14"/>
      <c r="H7" s="14"/>
      <c r="I7" s="14"/>
      <c r="J7" s="14"/>
      <c r="K7" s="14"/>
      <c r="L7" s="14"/>
      <c r="M7" s="13" t="str">
        <f t="shared" si="2"/>
        <v/>
      </c>
      <c r="N7" s="13" t="str">
        <f t="shared" si="3"/>
        <v/>
      </c>
      <c r="O7" s="13" t="str">
        <f t="shared" si="4"/>
        <v/>
      </c>
      <c r="P7" s="14"/>
      <c r="Q7" s="14"/>
      <c r="R7" s="14"/>
      <c r="S7" s="14"/>
      <c r="T7" s="14"/>
      <c r="U7" s="14"/>
      <c r="V7" s="14"/>
      <c r="W7" s="14"/>
      <c r="X7" s="15"/>
      <c r="Y7" s="14"/>
      <c r="Z7" s="14"/>
    </row>
    <row r="8">
      <c r="A8" s="13" t="str">
        <f t="shared" si="1"/>
        <v/>
      </c>
      <c r="B8" s="15"/>
      <c r="C8" s="15"/>
      <c r="D8" s="15"/>
      <c r="E8" s="14"/>
      <c r="F8" s="14"/>
      <c r="G8" s="14"/>
      <c r="H8" s="14"/>
      <c r="I8" s="14"/>
      <c r="J8" s="14"/>
      <c r="K8" s="14"/>
      <c r="L8" s="14"/>
      <c r="M8" s="13" t="str">
        <f t="shared" si="2"/>
        <v/>
      </c>
      <c r="N8" s="13" t="str">
        <f t="shared" si="3"/>
        <v/>
      </c>
      <c r="O8" s="13" t="str">
        <f t="shared" si="4"/>
        <v/>
      </c>
      <c r="P8" s="14"/>
      <c r="Q8" s="14"/>
      <c r="R8" s="14"/>
      <c r="S8" s="14"/>
      <c r="T8" s="14"/>
      <c r="U8" s="14"/>
      <c r="V8" s="14"/>
      <c r="W8" s="14"/>
      <c r="X8" s="15"/>
      <c r="Y8" s="14"/>
      <c r="Z8" s="14"/>
    </row>
    <row r="9">
      <c r="A9" s="13" t="str">
        <f t="shared" si="1"/>
        <v/>
      </c>
      <c r="B9" s="15"/>
      <c r="C9" s="15"/>
      <c r="D9" s="15"/>
      <c r="E9" s="14"/>
      <c r="F9" s="14"/>
      <c r="G9" s="14"/>
      <c r="H9" s="14"/>
      <c r="I9" s="14"/>
      <c r="J9" s="14"/>
      <c r="K9" s="14"/>
      <c r="L9" s="14"/>
      <c r="M9" s="13" t="str">
        <f t="shared" si="2"/>
        <v/>
      </c>
      <c r="N9" s="13" t="str">
        <f t="shared" si="3"/>
        <v/>
      </c>
      <c r="O9" s="13" t="str">
        <f t="shared" si="4"/>
        <v/>
      </c>
      <c r="P9" s="14"/>
      <c r="Q9" s="14"/>
      <c r="R9" s="14"/>
      <c r="S9" s="14"/>
      <c r="T9" s="14"/>
      <c r="U9" s="14"/>
      <c r="V9" s="14"/>
      <c r="W9" s="14"/>
      <c r="X9" s="15"/>
      <c r="Y9" s="14"/>
      <c r="Z9" s="14"/>
    </row>
    <row r="10">
      <c r="A10" s="13" t="str">
        <f t="shared" si="1"/>
        <v/>
      </c>
      <c r="B10" s="15"/>
      <c r="C10" s="15"/>
      <c r="D10" s="15"/>
      <c r="E10" s="14"/>
      <c r="F10" s="14"/>
      <c r="G10" s="14"/>
      <c r="H10" s="14"/>
      <c r="I10" s="14"/>
      <c r="J10" s="14"/>
      <c r="K10" s="14"/>
      <c r="L10" s="14"/>
      <c r="M10" s="13" t="str">
        <f t="shared" si="2"/>
        <v/>
      </c>
      <c r="N10" s="13" t="str">
        <f t="shared" si="3"/>
        <v/>
      </c>
      <c r="O10" s="13" t="str">
        <f t="shared" si="4"/>
        <v/>
      </c>
      <c r="P10" s="14"/>
      <c r="Q10" s="14"/>
      <c r="R10" s="14"/>
      <c r="S10" s="14"/>
      <c r="T10" s="14"/>
      <c r="U10" s="14"/>
      <c r="V10" s="14"/>
      <c r="W10" s="14"/>
      <c r="X10" s="15"/>
      <c r="Y10" s="14"/>
      <c r="Z10" s="14"/>
    </row>
    <row r="11">
      <c r="A11" s="13" t="str">
        <f t="shared" si="1"/>
        <v/>
      </c>
      <c r="B11" s="15"/>
      <c r="C11" s="15"/>
      <c r="D11" s="15"/>
      <c r="E11" s="14"/>
      <c r="F11" s="14"/>
      <c r="G11" s="14"/>
      <c r="H11" s="14"/>
      <c r="I11" s="14"/>
      <c r="J11" s="14"/>
      <c r="K11" s="14"/>
      <c r="L11" s="14"/>
      <c r="M11" s="13" t="str">
        <f t="shared" si="2"/>
        <v/>
      </c>
      <c r="N11" s="13" t="str">
        <f t="shared" si="3"/>
        <v/>
      </c>
      <c r="O11" s="13" t="str">
        <f t="shared" si="4"/>
        <v/>
      </c>
      <c r="P11" s="14"/>
      <c r="Q11" s="14"/>
      <c r="R11" s="14"/>
      <c r="S11" s="14"/>
      <c r="T11" s="14"/>
      <c r="U11" s="14"/>
      <c r="V11" s="14"/>
      <c r="W11" s="14"/>
      <c r="X11" s="15"/>
      <c r="Y11" s="14"/>
      <c r="Z11" s="14"/>
    </row>
    <row r="12">
      <c r="A12" s="13" t="str">
        <f t="shared" si="1"/>
        <v/>
      </c>
      <c r="B12" s="15"/>
      <c r="C12" s="15"/>
      <c r="D12" s="15"/>
      <c r="E12" s="14"/>
      <c r="F12" s="14"/>
      <c r="G12" s="14"/>
      <c r="H12" s="14"/>
      <c r="I12" s="14"/>
      <c r="J12" s="14"/>
      <c r="K12" s="14"/>
      <c r="L12" s="14"/>
      <c r="M12" s="13" t="str">
        <f t="shared" si="2"/>
        <v/>
      </c>
      <c r="N12" s="13" t="str">
        <f t="shared" si="3"/>
        <v/>
      </c>
      <c r="O12" s="13" t="str">
        <f t="shared" si="4"/>
        <v/>
      </c>
      <c r="P12" s="14"/>
      <c r="Q12" s="14"/>
      <c r="R12" s="14"/>
      <c r="S12" s="14"/>
      <c r="T12" s="14"/>
      <c r="U12" s="14"/>
      <c r="V12" s="14"/>
      <c r="W12" s="14"/>
      <c r="X12" s="15"/>
      <c r="Y12" s="14"/>
      <c r="Z12" s="14"/>
    </row>
    <row r="13">
      <c r="A13" s="13" t="str">
        <f t="shared" si="1"/>
        <v/>
      </c>
      <c r="B13" s="15"/>
      <c r="C13" s="15"/>
      <c r="D13" s="15"/>
      <c r="E13" s="14"/>
      <c r="F13" s="14"/>
      <c r="G13" s="14"/>
      <c r="H13" s="14"/>
      <c r="I13" s="14"/>
      <c r="J13" s="14"/>
      <c r="K13" s="14"/>
      <c r="L13" s="14"/>
      <c r="M13" s="13" t="str">
        <f t="shared" si="2"/>
        <v/>
      </c>
      <c r="N13" s="13" t="str">
        <f t="shared" si="3"/>
        <v/>
      </c>
      <c r="O13" s="13" t="str">
        <f t="shared" si="4"/>
        <v/>
      </c>
      <c r="P13" s="14"/>
      <c r="Q13" s="14"/>
      <c r="R13" s="14"/>
      <c r="S13" s="14"/>
      <c r="T13" s="14"/>
      <c r="U13" s="14"/>
      <c r="V13" s="14"/>
      <c r="W13" s="14"/>
      <c r="X13" s="15"/>
      <c r="Y13" s="14"/>
      <c r="Z13" s="14"/>
    </row>
    <row r="14">
      <c r="A14" s="13" t="str">
        <f t="shared" si="1"/>
        <v/>
      </c>
      <c r="B14" s="15"/>
      <c r="C14" s="15"/>
      <c r="D14" s="15"/>
      <c r="E14" s="14"/>
      <c r="F14" s="14"/>
      <c r="G14" s="14"/>
      <c r="H14" s="14"/>
      <c r="I14" s="14"/>
      <c r="J14" s="14"/>
      <c r="K14" s="14"/>
      <c r="L14" s="14"/>
      <c r="M14" s="13" t="str">
        <f t="shared" si="2"/>
        <v/>
      </c>
      <c r="N14" s="13" t="str">
        <f t="shared" si="3"/>
        <v/>
      </c>
      <c r="O14" s="13" t="str">
        <f t="shared" si="4"/>
        <v/>
      </c>
      <c r="P14" s="14"/>
      <c r="Q14" s="14"/>
      <c r="R14" s="14"/>
      <c r="S14" s="14"/>
      <c r="T14" s="14"/>
      <c r="U14" s="14"/>
      <c r="V14" s="14"/>
      <c r="W14" s="14"/>
      <c r="X14" s="15"/>
      <c r="Y14" s="14"/>
      <c r="Z14" s="14"/>
    </row>
    <row r="15">
      <c r="A15" s="13" t="str">
        <f t="shared" si="1"/>
        <v/>
      </c>
      <c r="B15" s="15"/>
      <c r="C15" s="15"/>
      <c r="D15" s="15"/>
      <c r="E15" s="14"/>
      <c r="F15" s="14"/>
      <c r="G15" s="14"/>
      <c r="H15" s="14"/>
      <c r="I15" s="14"/>
      <c r="J15" s="14"/>
      <c r="K15" s="14"/>
      <c r="L15" s="14"/>
      <c r="M15" s="13" t="str">
        <f t="shared" si="2"/>
        <v/>
      </c>
      <c r="N15" s="13" t="str">
        <f t="shared" si="3"/>
        <v/>
      </c>
      <c r="O15" s="13" t="str">
        <f t="shared" si="4"/>
        <v/>
      </c>
      <c r="P15" s="14"/>
      <c r="Q15" s="14"/>
      <c r="R15" s="14"/>
      <c r="S15" s="14"/>
      <c r="T15" s="14"/>
      <c r="U15" s="14"/>
      <c r="V15" s="14"/>
      <c r="W15" s="14"/>
      <c r="X15" s="15"/>
      <c r="Y15" s="14"/>
      <c r="Z15" s="14"/>
    </row>
    <row r="16">
      <c r="A16" s="13" t="str">
        <f t="shared" si="1"/>
        <v/>
      </c>
      <c r="B16" s="15"/>
      <c r="C16" s="15"/>
      <c r="D16" s="15"/>
      <c r="E16" s="14"/>
      <c r="F16" s="14"/>
      <c r="G16" s="14"/>
      <c r="H16" s="14"/>
      <c r="I16" s="14"/>
      <c r="J16" s="14"/>
      <c r="K16" s="14"/>
      <c r="L16" s="14"/>
      <c r="M16" s="13" t="str">
        <f t="shared" si="2"/>
        <v/>
      </c>
      <c r="N16" s="13" t="str">
        <f t="shared" si="3"/>
        <v/>
      </c>
      <c r="O16" s="13" t="str">
        <f t="shared" si="4"/>
        <v/>
      </c>
      <c r="P16" s="14"/>
      <c r="Q16" s="14"/>
      <c r="R16" s="14"/>
      <c r="S16" s="14"/>
      <c r="T16" s="14"/>
      <c r="U16" s="14"/>
      <c r="V16" s="14"/>
      <c r="W16" s="14"/>
      <c r="X16" s="15"/>
      <c r="Y16" s="14"/>
      <c r="Z16" s="14"/>
    </row>
    <row r="17">
      <c r="A17" s="13" t="str">
        <f t="shared" si="1"/>
        <v/>
      </c>
      <c r="B17" s="15"/>
      <c r="C17" s="15"/>
      <c r="D17" s="15"/>
      <c r="E17" s="14"/>
      <c r="F17" s="14"/>
      <c r="G17" s="14"/>
      <c r="H17" s="14"/>
      <c r="I17" s="14"/>
      <c r="J17" s="14"/>
      <c r="K17" s="14"/>
      <c r="L17" s="14"/>
      <c r="M17" s="13" t="str">
        <f t="shared" si="2"/>
        <v/>
      </c>
      <c r="N17" s="13" t="str">
        <f t="shared" si="3"/>
        <v/>
      </c>
      <c r="O17" s="13" t="str">
        <f t="shared" si="4"/>
        <v/>
      </c>
      <c r="P17" s="14"/>
      <c r="Q17" s="14"/>
      <c r="R17" s="14"/>
      <c r="S17" s="14"/>
      <c r="T17" s="14"/>
      <c r="U17" s="14"/>
      <c r="V17" s="14"/>
      <c r="W17" s="14"/>
      <c r="X17" s="15"/>
      <c r="Y17" s="14"/>
      <c r="Z17" s="14"/>
    </row>
    <row r="18">
      <c r="A18" s="13" t="str">
        <f t="shared" si="1"/>
        <v/>
      </c>
      <c r="B18" s="15"/>
      <c r="C18" s="15"/>
      <c r="D18" s="15"/>
      <c r="E18" s="14"/>
      <c r="F18" s="14"/>
      <c r="G18" s="14"/>
      <c r="H18" s="14"/>
      <c r="I18" s="14"/>
      <c r="J18" s="14"/>
      <c r="K18" s="14"/>
      <c r="L18" s="14"/>
      <c r="M18" s="13" t="str">
        <f t="shared" si="2"/>
        <v/>
      </c>
      <c r="N18" s="13" t="str">
        <f t="shared" si="3"/>
        <v/>
      </c>
      <c r="O18" s="13" t="str">
        <f t="shared" si="4"/>
        <v/>
      </c>
      <c r="P18" s="14"/>
      <c r="Q18" s="14"/>
      <c r="R18" s="14"/>
      <c r="S18" s="14"/>
      <c r="T18" s="14"/>
      <c r="U18" s="14"/>
      <c r="V18" s="14"/>
      <c r="W18" s="14"/>
      <c r="X18" s="15"/>
      <c r="Y18" s="14"/>
      <c r="Z18" s="14"/>
    </row>
    <row r="19">
      <c r="A19" s="13" t="str">
        <f t="shared" si="1"/>
        <v/>
      </c>
      <c r="B19" s="15"/>
      <c r="C19" s="15"/>
      <c r="D19" s="15"/>
      <c r="E19" s="14"/>
      <c r="F19" s="14"/>
      <c r="G19" s="14"/>
      <c r="H19" s="14"/>
      <c r="I19" s="14"/>
      <c r="J19" s="14"/>
      <c r="K19" s="14"/>
      <c r="L19" s="14"/>
      <c r="M19" s="13" t="str">
        <f t="shared" si="2"/>
        <v/>
      </c>
      <c r="N19" s="13" t="str">
        <f t="shared" si="3"/>
        <v/>
      </c>
      <c r="O19" s="13" t="str">
        <f t="shared" si="4"/>
        <v/>
      </c>
      <c r="P19" s="14"/>
      <c r="Q19" s="14"/>
      <c r="R19" s="14"/>
      <c r="S19" s="14"/>
      <c r="T19" s="14"/>
      <c r="U19" s="14"/>
      <c r="V19" s="14"/>
      <c r="W19" s="14"/>
      <c r="X19" s="15"/>
      <c r="Y19" s="14"/>
      <c r="Z19" s="14"/>
    </row>
    <row r="20">
      <c r="A20" s="13" t="str">
        <f t="shared" si="1"/>
        <v/>
      </c>
      <c r="B20" s="15"/>
      <c r="C20" s="15"/>
      <c r="D20" s="15"/>
      <c r="E20" s="14"/>
      <c r="F20" s="14"/>
      <c r="G20" s="14"/>
      <c r="H20" s="14"/>
      <c r="I20" s="14"/>
      <c r="J20" s="14"/>
      <c r="K20" s="14"/>
      <c r="L20" s="14"/>
      <c r="M20" s="13" t="str">
        <f t="shared" si="2"/>
        <v/>
      </c>
      <c r="N20" s="13" t="str">
        <f t="shared" si="3"/>
        <v/>
      </c>
      <c r="O20" s="13" t="str">
        <f t="shared" si="4"/>
        <v/>
      </c>
      <c r="P20" s="14"/>
      <c r="Q20" s="14"/>
      <c r="R20" s="14"/>
      <c r="S20" s="14"/>
      <c r="T20" s="14"/>
      <c r="U20" s="14"/>
      <c r="V20" s="14"/>
      <c r="W20" s="14"/>
      <c r="X20" s="15"/>
      <c r="Y20" s="14"/>
      <c r="Z20" s="14"/>
    </row>
    <row r="21" ht="15.75" customHeight="1">
      <c r="A21" s="13" t="str">
        <f t="shared" si="1"/>
        <v/>
      </c>
      <c r="B21" s="15"/>
      <c r="C21" s="15"/>
      <c r="D21" s="15"/>
      <c r="E21" s="14"/>
      <c r="F21" s="14"/>
      <c r="G21" s="14"/>
      <c r="H21" s="14"/>
      <c r="I21" s="14"/>
      <c r="J21" s="14"/>
      <c r="K21" s="14"/>
      <c r="L21" s="14"/>
      <c r="M21" s="13" t="str">
        <f t="shared" si="2"/>
        <v/>
      </c>
      <c r="N21" s="13" t="str">
        <f t="shared" si="3"/>
        <v/>
      </c>
      <c r="O21" s="13" t="str">
        <f t="shared" si="4"/>
        <v/>
      </c>
      <c r="P21" s="14"/>
      <c r="Q21" s="14"/>
      <c r="R21" s="14"/>
      <c r="S21" s="14"/>
      <c r="T21" s="14"/>
      <c r="U21" s="14"/>
      <c r="V21" s="14"/>
      <c r="W21" s="14"/>
      <c r="X21" s="15"/>
      <c r="Y21" s="14"/>
      <c r="Z21" s="14"/>
    </row>
    <row r="22" ht="15.75" customHeight="1">
      <c r="A22" s="13" t="str">
        <f t="shared" si="1"/>
        <v/>
      </c>
      <c r="B22" s="15"/>
      <c r="C22" s="15"/>
      <c r="D22" s="15"/>
      <c r="E22" s="14"/>
      <c r="F22" s="14"/>
      <c r="G22" s="14"/>
      <c r="H22" s="14"/>
      <c r="I22" s="14"/>
      <c r="J22" s="14"/>
      <c r="K22" s="14"/>
      <c r="L22" s="14"/>
      <c r="M22" s="13" t="str">
        <f t="shared" si="2"/>
        <v/>
      </c>
      <c r="N22" s="13" t="str">
        <f t="shared" si="3"/>
        <v/>
      </c>
      <c r="O22" s="13" t="str">
        <f t="shared" si="4"/>
        <v/>
      </c>
      <c r="P22" s="14"/>
      <c r="Q22" s="14"/>
      <c r="R22" s="14"/>
      <c r="S22" s="14"/>
      <c r="T22" s="14"/>
      <c r="U22" s="14"/>
      <c r="V22" s="14"/>
      <c r="W22" s="14"/>
      <c r="X22" s="15"/>
      <c r="Y22" s="14"/>
      <c r="Z22" s="14"/>
    </row>
    <row r="23" ht="15.75" customHeight="1">
      <c r="A23" s="13" t="str">
        <f t="shared" si="1"/>
        <v/>
      </c>
      <c r="B23" s="15"/>
      <c r="C23" s="15"/>
      <c r="D23" s="15"/>
      <c r="E23" s="14"/>
      <c r="F23" s="14"/>
      <c r="G23" s="14"/>
      <c r="H23" s="14"/>
      <c r="I23" s="14"/>
      <c r="J23" s="14"/>
      <c r="K23" s="14"/>
      <c r="L23" s="14"/>
      <c r="M23" s="13" t="str">
        <f t="shared" si="2"/>
        <v/>
      </c>
      <c r="N23" s="13" t="str">
        <f t="shared" si="3"/>
        <v/>
      </c>
      <c r="O23" s="13" t="str">
        <f t="shared" si="4"/>
        <v/>
      </c>
      <c r="P23" s="14"/>
      <c r="Q23" s="14"/>
      <c r="R23" s="14"/>
      <c r="S23" s="14"/>
      <c r="T23" s="14"/>
      <c r="U23" s="14"/>
      <c r="V23" s="14"/>
      <c r="W23" s="14"/>
      <c r="X23" s="15"/>
      <c r="Y23" s="14"/>
      <c r="Z23" s="14"/>
    </row>
    <row r="24" ht="15.75" customHeight="1">
      <c r="A24" s="13" t="str">
        <f t="shared" si="1"/>
        <v/>
      </c>
      <c r="B24" s="15"/>
      <c r="C24" s="15"/>
      <c r="D24" s="15"/>
      <c r="E24" s="14"/>
      <c r="F24" s="14"/>
      <c r="G24" s="14"/>
      <c r="H24" s="14"/>
      <c r="I24" s="14"/>
      <c r="J24" s="14"/>
      <c r="K24" s="14"/>
      <c r="L24" s="14"/>
      <c r="M24" s="13" t="str">
        <f t="shared" si="2"/>
        <v/>
      </c>
      <c r="N24" s="13" t="str">
        <f t="shared" si="3"/>
        <v/>
      </c>
      <c r="O24" s="13" t="str">
        <f t="shared" si="4"/>
        <v/>
      </c>
      <c r="P24" s="14"/>
      <c r="Q24" s="14"/>
      <c r="R24" s="14"/>
      <c r="S24" s="14"/>
      <c r="T24" s="14"/>
      <c r="U24" s="14"/>
      <c r="V24" s="14"/>
      <c r="W24" s="14"/>
      <c r="X24" s="15"/>
      <c r="Y24" s="14"/>
      <c r="Z24" s="14"/>
    </row>
    <row r="25" ht="15.75" customHeight="1">
      <c r="A25" s="13" t="str">
        <f t="shared" si="1"/>
        <v/>
      </c>
      <c r="B25" s="15"/>
      <c r="C25" s="15"/>
      <c r="D25" s="15"/>
      <c r="E25" s="14"/>
      <c r="F25" s="14"/>
      <c r="G25" s="14"/>
      <c r="H25" s="14"/>
      <c r="I25" s="14"/>
      <c r="J25" s="14"/>
      <c r="K25" s="14"/>
      <c r="L25" s="14"/>
      <c r="M25" s="13" t="str">
        <f t="shared" si="2"/>
        <v/>
      </c>
      <c r="N25" s="13" t="str">
        <f t="shared" si="3"/>
        <v/>
      </c>
      <c r="O25" s="13" t="str">
        <f t="shared" si="4"/>
        <v/>
      </c>
      <c r="P25" s="14"/>
      <c r="Q25" s="14"/>
      <c r="R25" s="14"/>
      <c r="S25" s="14"/>
      <c r="T25" s="14"/>
      <c r="U25" s="14"/>
      <c r="V25" s="14"/>
      <c r="W25" s="14"/>
      <c r="X25" s="15"/>
      <c r="Y25" s="14"/>
      <c r="Z25" s="14"/>
    </row>
    <row r="26" ht="15.75" customHeight="1">
      <c r="A26" s="13" t="str">
        <f t="shared" si="1"/>
        <v/>
      </c>
      <c r="B26" s="15"/>
      <c r="C26" s="15"/>
      <c r="D26" s="15"/>
      <c r="E26" s="14"/>
      <c r="F26" s="14"/>
      <c r="G26" s="14"/>
      <c r="H26" s="14"/>
      <c r="I26" s="14"/>
      <c r="J26" s="14"/>
      <c r="K26" s="14"/>
      <c r="L26" s="14"/>
      <c r="M26" s="13" t="str">
        <f t="shared" si="2"/>
        <v/>
      </c>
      <c r="N26" s="13" t="str">
        <f t="shared" si="3"/>
        <v/>
      </c>
      <c r="O26" s="13" t="str">
        <f t="shared" si="4"/>
        <v/>
      </c>
      <c r="P26" s="14"/>
      <c r="Q26" s="14"/>
      <c r="R26" s="14"/>
      <c r="S26" s="14"/>
      <c r="T26" s="14"/>
      <c r="U26" s="14"/>
      <c r="V26" s="14"/>
      <c r="W26" s="14"/>
      <c r="X26" s="15"/>
      <c r="Y26" s="14"/>
      <c r="Z26" s="14"/>
    </row>
    <row r="27" ht="15.75" customHeight="1">
      <c r="A27" s="13" t="str">
        <f t="shared" si="1"/>
        <v/>
      </c>
      <c r="B27" s="15"/>
      <c r="C27" s="15"/>
      <c r="D27" s="15"/>
      <c r="E27" s="14"/>
      <c r="F27" s="14"/>
      <c r="G27" s="14"/>
      <c r="H27" s="14"/>
      <c r="I27" s="14"/>
      <c r="J27" s="14"/>
      <c r="K27" s="14"/>
      <c r="L27" s="14"/>
      <c r="M27" s="13" t="str">
        <f t="shared" si="2"/>
        <v/>
      </c>
      <c r="N27" s="13" t="str">
        <f t="shared" si="3"/>
        <v/>
      </c>
      <c r="O27" s="13" t="str">
        <f t="shared" si="4"/>
        <v/>
      </c>
      <c r="P27" s="14"/>
      <c r="Q27" s="14"/>
      <c r="R27" s="14"/>
      <c r="S27" s="14"/>
      <c r="T27" s="14"/>
      <c r="U27" s="14"/>
      <c r="V27" s="14"/>
      <c r="W27" s="14"/>
      <c r="X27" s="15"/>
      <c r="Y27" s="14"/>
      <c r="Z27" s="14"/>
    </row>
    <row r="28" ht="15.75" customHeight="1">
      <c r="A28" s="13" t="str">
        <f t="shared" si="1"/>
        <v/>
      </c>
      <c r="B28" s="15"/>
      <c r="C28" s="15"/>
      <c r="D28" s="15"/>
      <c r="E28" s="14"/>
      <c r="F28" s="14"/>
      <c r="G28" s="14"/>
      <c r="H28" s="14"/>
      <c r="I28" s="14"/>
      <c r="J28" s="14"/>
      <c r="K28" s="14"/>
      <c r="L28" s="14"/>
      <c r="M28" s="13" t="str">
        <f t="shared" si="2"/>
        <v/>
      </c>
      <c r="N28" s="13" t="str">
        <f t="shared" si="3"/>
        <v/>
      </c>
      <c r="O28" s="13" t="str">
        <f t="shared" si="4"/>
        <v/>
      </c>
      <c r="P28" s="14"/>
      <c r="Q28" s="14"/>
      <c r="R28" s="14"/>
      <c r="S28" s="14"/>
      <c r="T28" s="14"/>
      <c r="U28" s="14"/>
      <c r="V28" s="14"/>
      <c r="W28" s="14"/>
      <c r="X28" s="15"/>
      <c r="Y28" s="14"/>
      <c r="Z28" s="14"/>
    </row>
    <row r="29" ht="15.75" customHeight="1">
      <c r="A29" s="13" t="str">
        <f t="shared" si="1"/>
        <v/>
      </c>
      <c r="B29" s="15"/>
      <c r="C29" s="15"/>
      <c r="D29" s="15"/>
      <c r="E29" s="14"/>
      <c r="F29" s="14"/>
      <c r="G29" s="14"/>
      <c r="H29" s="14"/>
      <c r="I29" s="14"/>
      <c r="J29" s="14"/>
      <c r="K29" s="14"/>
      <c r="L29" s="14"/>
      <c r="M29" s="13" t="str">
        <f t="shared" si="2"/>
        <v/>
      </c>
      <c r="N29" s="13" t="str">
        <f t="shared" si="3"/>
        <v/>
      </c>
      <c r="O29" s="13" t="str">
        <f t="shared" si="4"/>
        <v/>
      </c>
      <c r="P29" s="14"/>
      <c r="Q29" s="14"/>
      <c r="R29" s="14"/>
      <c r="S29" s="14"/>
      <c r="T29" s="14"/>
      <c r="U29" s="14"/>
      <c r="V29" s="14"/>
      <c r="W29" s="14"/>
      <c r="X29" s="15"/>
      <c r="Y29" s="14"/>
      <c r="Z29" s="14"/>
    </row>
    <row r="30" ht="15.75" customHeight="1">
      <c r="A30" s="13" t="str">
        <f t="shared" si="1"/>
        <v/>
      </c>
      <c r="B30" s="15"/>
      <c r="C30" s="15"/>
      <c r="D30" s="15"/>
      <c r="E30" s="14"/>
      <c r="F30" s="14"/>
      <c r="G30" s="14"/>
      <c r="H30" s="14"/>
      <c r="I30" s="14"/>
      <c r="J30" s="14"/>
      <c r="K30" s="14"/>
      <c r="L30" s="14"/>
      <c r="M30" s="13" t="str">
        <f t="shared" si="2"/>
        <v/>
      </c>
      <c r="N30" s="13" t="str">
        <f t="shared" si="3"/>
        <v/>
      </c>
      <c r="O30" s="13" t="str">
        <f t="shared" si="4"/>
        <v/>
      </c>
      <c r="P30" s="14"/>
      <c r="Q30" s="14"/>
      <c r="R30" s="14"/>
      <c r="S30" s="14"/>
      <c r="T30" s="14"/>
      <c r="U30" s="14"/>
      <c r="V30" s="14"/>
      <c r="W30" s="14"/>
      <c r="X30" s="15"/>
      <c r="Y30" s="14"/>
      <c r="Z30" s="14"/>
    </row>
    <row r="31" ht="15.75" customHeight="1">
      <c r="A31" s="13" t="str">
        <f t="shared" si="1"/>
        <v/>
      </c>
      <c r="B31" s="15"/>
      <c r="C31" s="15"/>
      <c r="D31" s="15"/>
      <c r="E31" s="14"/>
      <c r="F31" s="14"/>
      <c r="G31" s="14"/>
      <c r="H31" s="14"/>
      <c r="I31" s="14"/>
      <c r="J31" s="14"/>
      <c r="K31" s="14"/>
      <c r="L31" s="14"/>
      <c r="M31" s="13" t="str">
        <f t="shared" si="2"/>
        <v/>
      </c>
      <c r="N31" s="13" t="str">
        <f t="shared" si="3"/>
        <v/>
      </c>
      <c r="O31" s="13" t="str">
        <f t="shared" si="4"/>
        <v/>
      </c>
      <c r="P31" s="14"/>
      <c r="Q31" s="14"/>
      <c r="R31" s="14"/>
      <c r="S31" s="14"/>
      <c r="T31" s="14"/>
      <c r="U31" s="14"/>
      <c r="V31" s="14"/>
      <c r="W31" s="14"/>
      <c r="X31" s="15"/>
      <c r="Y31" s="14"/>
      <c r="Z31" s="14"/>
    </row>
    <row r="32" ht="15.75" customHeight="1">
      <c r="A32" s="13" t="str">
        <f t="shared" si="1"/>
        <v/>
      </c>
      <c r="B32" s="15"/>
      <c r="C32" s="15"/>
      <c r="D32" s="15"/>
      <c r="E32" s="14"/>
      <c r="F32" s="14"/>
      <c r="G32" s="14"/>
      <c r="H32" s="14"/>
      <c r="I32" s="14"/>
      <c r="J32" s="14"/>
      <c r="K32" s="14"/>
      <c r="L32" s="14"/>
      <c r="M32" s="13" t="str">
        <f t="shared" si="2"/>
        <v/>
      </c>
      <c r="N32" s="13" t="str">
        <f t="shared" si="3"/>
        <v/>
      </c>
      <c r="O32" s="13" t="str">
        <f t="shared" si="4"/>
        <v/>
      </c>
      <c r="P32" s="14"/>
      <c r="Q32" s="14"/>
      <c r="R32" s="14"/>
      <c r="S32" s="14"/>
      <c r="T32" s="14"/>
      <c r="U32" s="14"/>
      <c r="V32" s="14"/>
      <c r="W32" s="14"/>
      <c r="X32" s="15"/>
      <c r="Y32" s="14"/>
      <c r="Z32" s="14"/>
    </row>
    <row r="33" ht="15.75" customHeight="1">
      <c r="A33" s="13" t="str">
        <f t="shared" si="1"/>
        <v/>
      </c>
      <c r="B33" s="15"/>
      <c r="C33" s="15"/>
      <c r="D33" s="15"/>
      <c r="E33" s="14"/>
      <c r="F33" s="14"/>
      <c r="G33" s="14"/>
      <c r="H33" s="14"/>
      <c r="I33" s="14"/>
      <c r="J33" s="14"/>
      <c r="K33" s="14"/>
      <c r="L33" s="14"/>
      <c r="M33" s="13" t="str">
        <f t="shared" si="2"/>
        <v/>
      </c>
      <c r="N33" s="13" t="str">
        <f t="shared" si="3"/>
        <v/>
      </c>
      <c r="O33" s="13" t="str">
        <f t="shared" si="4"/>
        <v/>
      </c>
      <c r="P33" s="14"/>
      <c r="Q33" s="14"/>
      <c r="R33" s="14"/>
      <c r="S33" s="14"/>
      <c r="T33" s="14"/>
      <c r="U33" s="14"/>
      <c r="V33" s="14"/>
      <c r="W33" s="14"/>
      <c r="X33" s="15"/>
      <c r="Y33" s="14"/>
      <c r="Z33" s="14"/>
    </row>
    <row r="34" ht="15.75" customHeight="1">
      <c r="A34" s="13" t="str">
        <f t="shared" si="1"/>
        <v/>
      </c>
      <c r="B34" s="15"/>
      <c r="C34" s="15"/>
      <c r="D34" s="15"/>
      <c r="E34" s="14"/>
      <c r="F34" s="14"/>
      <c r="G34" s="14"/>
      <c r="H34" s="14"/>
      <c r="I34" s="14"/>
      <c r="J34" s="14"/>
      <c r="K34" s="14"/>
      <c r="L34" s="14"/>
      <c r="M34" s="13" t="str">
        <f t="shared" si="2"/>
        <v/>
      </c>
      <c r="N34" s="13" t="str">
        <f t="shared" si="3"/>
        <v/>
      </c>
      <c r="O34" s="13" t="str">
        <f t="shared" si="4"/>
        <v/>
      </c>
      <c r="P34" s="14"/>
      <c r="Q34" s="14"/>
      <c r="R34" s="14"/>
      <c r="S34" s="14"/>
      <c r="T34" s="14"/>
      <c r="U34" s="14"/>
      <c r="V34" s="14"/>
      <c r="W34" s="14"/>
      <c r="X34" s="15"/>
      <c r="Y34" s="14"/>
      <c r="Z34" s="14"/>
    </row>
    <row r="35" ht="15.75" customHeight="1">
      <c r="A35" s="13" t="str">
        <f t="shared" si="1"/>
        <v/>
      </c>
      <c r="B35" s="15"/>
      <c r="C35" s="15"/>
      <c r="D35" s="15"/>
      <c r="E35" s="14"/>
      <c r="F35" s="14"/>
      <c r="G35" s="14"/>
      <c r="H35" s="14"/>
      <c r="I35" s="14"/>
      <c r="J35" s="14"/>
      <c r="K35" s="14"/>
      <c r="L35" s="14"/>
      <c r="M35" s="13" t="str">
        <f t="shared" si="2"/>
        <v/>
      </c>
      <c r="N35" s="13" t="str">
        <f t="shared" si="3"/>
        <v/>
      </c>
      <c r="O35" s="13" t="str">
        <f t="shared" si="4"/>
        <v/>
      </c>
      <c r="P35" s="14"/>
      <c r="Q35" s="14"/>
      <c r="R35" s="14"/>
      <c r="S35" s="14"/>
      <c r="T35" s="14"/>
      <c r="U35" s="14"/>
      <c r="V35" s="14"/>
      <c r="W35" s="14"/>
      <c r="X35" s="15"/>
      <c r="Y35" s="14"/>
      <c r="Z35" s="14"/>
    </row>
    <row r="36" ht="15.75" customHeight="1">
      <c r="A36" s="13" t="str">
        <f t="shared" si="1"/>
        <v/>
      </c>
      <c r="B36" s="15"/>
      <c r="C36" s="15"/>
      <c r="D36" s="15"/>
      <c r="E36" s="14"/>
      <c r="F36" s="14"/>
      <c r="G36" s="14"/>
      <c r="H36" s="14"/>
      <c r="I36" s="14"/>
      <c r="J36" s="14"/>
      <c r="K36" s="14"/>
      <c r="L36" s="14"/>
      <c r="M36" s="13" t="str">
        <f t="shared" si="2"/>
        <v/>
      </c>
      <c r="N36" s="13" t="str">
        <f t="shared" si="3"/>
        <v/>
      </c>
      <c r="O36" s="13" t="str">
        <f t="shared" si="4"/>
        <v/>
      </c>
      <c r="P36" s="14"/>
      <c r="Q36" s="14"/>
      <c r="R36" s="14"/>
      <c r="S36" s="14"/>
      <c r="T36" s="14"/>
      <c r="U36" s="14"/>
      <c r="V36" s="14"/>
      <c r="W36" s="14"/>
      <c r="X36" s="15"/>
      <c r="Y36" s="14"/>
      <c r="Z36" s="14"/>
    </row>
    <row r="37" ht="15.75" customHeight="1">
      <c r="A37" s="13" t="str">
        <f t="shared" si="1"/>
        <v/>
      </c>
      <c r="B37" s="15"/>
      <c r="C37" s="15"/>
      <c r="D37" s="15"/>
      <c r="E37" s="14"/>
      <c r="F37" s="14"/>
      <c r="G37" s="14"/>
      <c r="H37" s="14"/>
      <c r="I37" s="14"/>
      <c r="J37" s="14"/>
      <c r="K37" s="14"/>
      <c r="L37" s="14"/>
      <c r="M37" s="13" t="str">
        <f t="shared" si="2"/>
        <v/>
      </c>
      <c r="N37" s="13" t="str">
        <f t="shared" si="3"/>
        <v/>
      </c>
      <c r="O37" s="13" t="str">
        <f t="shared" si="4"/>
        <v/>
      </c>
      <c r="P37" s="14"/>
      <c r="Q37" s="14"/>
      <c r="R37" s="14"/>
      <c r="S37" s="14"/>
      <c r="T37" s="14"/>
      <c r="U37" s="14"/>
      <c r="V37" s="14"/>
      <c r="W37" s="14"/>
      <c r="X37" s="15"/>
      <c r="Y37" s="14"/>
      <c r="Z37" s="14"/>
    </row>
    <row r="38" ht="15.75" customHeight="1">
      <c r="A38" s="13" t="str">
        <f t="shared" si="1"/>
        <v/>
      </c>
      <c r="B38" s="15"/>
      <c r="C38" s="15"/>
      <c r="D38" s="15"/>
      <c r="E38" s="14"/>
      <c r="F38" s="14"/>
      <c r="G38" s="14"/>
      <c r="H38" s="14"/>
      <c r="I38" s="14"/>
      <c r="J38" s="14"/>
      <c r="K38" s="14"/>
      <c r="L38" s="14"/>
      <c r="M38" s="13" t="str">
        <f t="shared" si="2"/>
        <v/>
      </c>
      <c r="N38" s="13" t="str">
        <f t="shared" si="3"/>
        <v/>
      </c>
      <c r="O38" s="13" t="str">
        <f t="shared" si="4"/>
        <v/>
      </c>
      <c r="P38" s="14"/>
      <c r="Q38" s="14"/>
      <c r="R38" s="14"/>
      <c r="S38" s="14"/>
      <c r="T38" s="14"/>
      <c r="U38" s="14"/>
      <c r="V38" s="14"/>
      <c r="W38" s="14"/>
      <c r="X38" s="15"/>
      <c r="Y38" s="14"/>
      <c r="Z38" s="14"/>
    </row>
    <row r="39" ht="15.75" customHeight="1">
      <c r="A39" s="13" t="str">
        <f t="shared" si="1"/>
        <v/>
      </c>
      <c r="B39" s="15"/>
      <c r="C39" s="15"/>
      <c r="D39" s="15"/>
      <c r="E39" s="14"/>
      <c r="F39" s="14"/>
      <c r="G39" s="14"/>
      <c r="H39" s="14"/>
      <c r="I39" s="14"/>
      <c r="J39" s="14"/>
      <c r="K39" s="14"/>
      <c r="L39" s="14"/>
      <c r="M39" s="13" t="str">
        <f t="shared" si="2"/>
        <v/>
      </c>
      <c r="N39" s="13" t="str">
        <f t="shared" si="3"/>
        <v/>
      </c>
      <c r="O39" s="13" t="str">
        <f t="shared" si="4"/>
        <v/>
      </c>
      <c r="P39" s="14"/>
      <c r="Q39" s="14"/>
      <c r="R39" s="14"/>
      <c r="S39" s="14"/>
      <c r="T39" s="14"/>
      <c r="U39" s="14"/>
      <c r="V39" s="14"/>
      <c r="W39" s="14"/>
      <c r="X39" s="15"/>
      <c r="Y39" s="14"/>
      <c r="Z39" s="14"/>
    </row>
    <row r="40" ht="15.75" customHeight="1">
      <c r="A40" s="13" t="str">
        <f t="shared" si="1"/>
        <v/>
      </c>
      <c r="B40" s="15"/>
      <c r="C40" s="15"/>
      <c r="D40" s="15"/>
      <c r="E40" s="14"/>
      <c r="F40" s="14"/>
      <c r="G40" s="14"/>
      <c r="H40" s="14"/>
      <c r="I40" s="14"/>
      <c r="J40" s="14"/>
      <c r="K40" s="14"/>
      <c r="L40" s="14"/>
      <c r="M40" s="13" t="str">
        <f t="shared" si="2"/>
        <v/>
      </c>
      <c r="N40" s="13" t="str">
        <f t="shared" si="3"/>
        <v/>
      </c>
      <c r="O40" s="13" t="str">
        <f t="shared" si="4"/>
        <v/>
      </c>
      <c r="P40" s="14"/>
      <c r="Q40" s="14"/>
      <c r="R40" s="14"/>
      <c r="S40" s="14"/>
      <c r="T40" s="14"/>
      <c r="U40" s="14"/>
      <c r="V40" s="14"/>
      <c r="W40" s="14"/>
      <c r="X40" s="15"/>
      <c r="Y40" s="14"/>
      <c r="Z40" s="14"/>
    </row>
    <row r="41" ht="15.75" customHeight="1">
      <c r="A41" s="13" t="str">
        <f t="shared" si="1"/>
        <v/>
      </c>
      <c r="B41" s="15"/>
      <c r="C41" s="15"/>
      <c r="D41" s="15"/>
      <c r="E41" s="14"/>
      <c r="F41" s="14"/>
      <c r="G41" s="14"/>
      <c r="H41" s="14"/>
      <c r="I41" s="14"/>
      <c r="J41" s="14"/>
      <c r="K41" s="14"/>
      <c r="L41" s="14"/>
      <c r="M41" s="13" t="str">
        <f t="shared" si="2"/>
        <v/>
      </c>
      <c r="N41" s="13" t="str">
        <f t="shared" si="3"/>
        <v/>
      </c>
      <c r="O41" s="13" t="str">
        <f t="shared" si="4"/>
        <v/>
      </c>
      <c r="P41" s="14"/>
      <c r="Q41" s="14"/>
      <c r="R41" s="14"/>
      <c r="S41" s="14"/>
      <c r="T41" s="14"/>
      <c r="U41" s="14"/>
      <c r="V41" s="14"/>
      <c r="W41" s="14"/>
      <c r="X41" s="15"/>
      <c r="Y41" s="14"/>
      <c r="Z41" s="14"/>
    </row>
    <row r="42" ht="15.75" customHeight="1">
      <c r="A42" s="13" t="str">
        <f t="shared" si="1"/>
        <v/>
      </c>
      <c r="B42" s="15"/>
      <c r="C42" s="15"/>
      <c r="D42" s="15"/>
      <c r="E42" s="14"/>
      <c r="F42" s="14"/>
      <c r="G42" s="14"/>
      <c r="H42" s="14"/>
      <c r="I42" s="14"/>
      <c r="J42" s="14"/>
      <c r="K42" s="14"/>
      <c r="L42" s="14"/>
      <c r="M42" s="13" t="str">
        <f t="shared" si="2"/>
        <v/>
      </c>
      <c r="N42" s="13" t="str">
        <f t="shared" si="3"/>
        <v/>
      </c>
      <c r="O42" s="13" t="str">
        <f t="shared" si="4"/>
        <v/>
      </c>
      <c r="P42" s="14"/>
      <c r="Q42" s="14"/>
      <c r="R42" s="14"/>
      <c r="S42" s="14"/>
      <c r="T42" s="14"/>
      <c r="U42" s="14"/>
      <c r="V42" s="14"/>
      <c r="W42" s="14"/>
      <c r="X42" s="15"/>
      <c r="Y42" s="14"/>
      <c r="Z42" s="14"/>
    </row>
    <row r="43" ht="15.75" customHeight="1">
      <c r="A43" s="13" t="str">
        <f t="shared" si="1"/>
        <v/>
      </c>
      <c r="B43" s="15"/>
      <c r="C43" s="15"/>
      <c r="D43" s="15"/>
      <c r="E43" s="14"/>
      <c r="F43" s="14"/>
      <c r="G43" s="14"/>
      <c r="H43" s="14"/>
      <c r="I43" s="14"/>
      <c r="J43" s="14"/>
      <c r="K43" s="14"/>
      <c r="L43" s="14"/>
      <c r="M43" s="13" t="str">
        <f t="shared" si="2"/>
        <v/>
      </c>
      <c r="N43" s="13" t="str">
        <f t="shared" si="3"/>
        <v/>
      </c>
      <c r="O43" s="13" t="str">
        <f t="shared" si="4"/>
        <v/>
      </c>
      <c r="P43" s="14"/>
      <c r="Q43" s="14"/>
      <c r="R43" s="14"/>
      <c r="S43" s="14"/>
      <c r="T43" s="14"/>
      <c r="U43" s="14"/>
      <c r="V43" s="14"/>
      <c r="W43" s="14"/>
      <c r="X43" s="15"/>
      <c r="Y43" s="14"/>
      <c r="Z43" s="14"/>
    </row>
    <row r="44" ht="15.75" customHeight="1">
      <c r="A44" s="13" t="str">
        <f t="shared" si="1"/>
        <v/>
      </c>
      <c r="B44" s="15"/>
      <c r="C44" s="15"/>
      <c r="D44" s="15"/>
      <c r="E44" s="14"/>
      <c r="F44" s="14"/>
      <c r="G44" s="14"/>
      <c r="H44" s="14"/>
      <c r="I44" s="14"/>
      <c r="J44" s="14"/>
      <c r="K44" s="14"/>
      <c r="L44" s="14"/>
      <c r="M44" s="13" t="str">
        <f t="shared" si="2"/>
        <v/>
      </c>
      <c r="N44" s="13" t="str">
        <f t="shared" si="3"/>
        <v/>
      </c>
      <c r="O44" s="13" t="str">
        <f t="shared" si="4"/>
        <v/>
      </c>
      <c r="P44" s="14"/>
      <c r="Q44" s="14"/>
      <c r="R44" s="14"/>
      <c r="S44" s="14"/>
      <c r="T44" s="14"/>
      <c r="U44" s="14"/>
      <c r="V44" s="14"/>
      <c r="W44" s="14"/>
      <c r="X44" s="15"/>
      <c r="Y44" s="14"/>
      <c r="Z44" s="14"/>
    </row>
    <row r="45" ht="15.75" customHeight="1">
      <c r="A45" s="13" t="str">
        <f t="shared" si="1"/>
        <v/>
      </c>
      <c r="B45" s="15"/>
      <c r="C45" s="15"/>
      <c r="D45" s="15"/>
      <c r="E45" s="14"/>
      <c r="F45" s="14"/>
      <c r="G45" s="14"/>
      <c r="H45" s="14"/>
      <c r="I45" s="14"/>
      <c r="J45" s="14"/>
      <c r="K45" s="14"/>
      <c r="L45" s="14"/>
      <c r="M45" s="13" t="str">
        <f t="shared" si="2"/>
        <v/>
      </c>
      <c r="N45" s="13" t="str">
        <f t="shared" si="3"/>
        <v/>
      </c>
      <c r="O45" s="13" t="str">
        <f t="shared" si="4"/>
        <v/>
      </c>
      <c r="P45" s="14"/>
      <c r="Q45" s="14"/>
      <c r="R45" s="14"/>
      <c r="S45" s="14"/>
      <c r="T45" s="14"/>
      <c r="U45" s="14"/>
      <c r="V45" s="14"/>
      <c r="W45" s="14"/>
      <c r="X45" s="15"/>
      <c r="Y45" s="14"/>
      <c r="Z45" s="14"/>
    </row>
    <row r="46" ht="15.75" customHeight="1">
      <c r="A46" s="13" t="str">
        <f t="shared" si="1"/>
        <v/>
      </c>
      <c r="B46" s="15"/>
      <c r="C46" s="15"/>
      <c r="D46" s="15"/>
      <c r="E46" s="14"/>
      <c r="F46" s="14"/>
      <c r="G46" s="14"/>
      <c r="H46" s="14"/>
      <c r="I46" s="14"/>
      <c r="J46" s="14"/>
      <c r="K46" s="14"/>
      <c r="L46" s="14"/>
      <c r="M46" s="13" t="str">
        <f t="shared" si="2"/>
        <v/>
      </c>
      <c r="N46" s="13" t="str">
        <f t="shared" si="3"/>
        <v/>
      </c>
      <c r="O46" s="13" t="str">
        <f t="shared" si="4"/>
        <v/>
      </c>
      <c r="P46" s="14"/>
      <c r="Q46" s="14"/>
      <c r="R46" s="14"/>
      <c r="S46" s="14"/>
      <c r="T46" s="14"/>
      <c r="U46" s="14"/>
      <c r="V46" s="14"/>
      <c r="W46" s="14"/>
      <c r="X46" s="15"/>
      <c r="Y46" s="14"/>
      <c r="Z46" s="14"/>
    </row>
    <row r="47" ht="15.75" customHeight="1">
      <c r="A47" s="13" t="str">
        <f t="shared" si="1"/>
        <v/>
      </c>
      <c r="B47" s="15"/>
      <c r="C47" s="15"/>
      <c r="D47" s="15"/>
      <c r="E47" s="14"/>
      <c r="F47" s="14"/>
      <c r="G47" s="14"/>
      <c r="H47" s="14"/>
      <c r="I47" s="14"/>
      <c r="J47" s="14"/>
      <c r="K47" s="14"/>
      <c r="L47" s="14"/>
      <c r="M47" s="13" t="str">
        <f t="shared" si="2"/>
        <v/>
      </c>
      <c r="N47" s="13" t="str">
        <f t="shared" si="3"/>
        <v/>
      </c>
      <c r="O47" s="13" t="str">
        <f t="shared" si="4"/>
        <v/>
      </c>
      <c r="P47" s="14"/>
      <c r="Q47" s="14"/>
      <c r="R47" s="14"/>
      <c r="S47" s="14"/>
      <c r="T47" s="14"/>
      <c r="U47" s="14"/>
      <c r="V47" s="14"/>
      <c r="W47" s="14"/>
      <c r="X47" s="15"/>
      <c r="Y47" s="14"/>
      <c r="Z47" s="14"/>
    </row>
    <row r="48" ht="15.75" customHeight="1">
      <c r="A48" s="13" t="str">
        <f t="shared" si="1"/>
        <v/>
      </c>
      <c r="B48" s="15"/>
      <c r="C48" s="15"/>
      <c r="D48" s="15"/>
      <c r="E48" s="14"/>
      <c r="F48" s="14"/>
      <c r="G48" s="14"/>
      <c r="H48" s="14"/>
      <c r="I48" s="14"/>
      <c r="J48" s="14"/>
      <c r="K48" s="14"/>
      <c r="L48" s="14"/>
      <c r="M48" s="13" t="str">
        <f t="shared" si="2"/>
        <v/>
      </c>
      <c r="N48" s="13" t="str">
        <f t="shared" si="3"/>
        <v/>
      </c>
      <c r="O48" s="13" t="str">
        <f t="shared" si="4"/>
        <v/>
      </c>
      <c r="P48" s="14"/>
      <c r="Q48" s="14"/>
      <c r="R48" s="14"/>
      <c r="S48" s="14"/>
      <c r="T48" s="14"/>
      <c r="U48" s="14"/>
      <c r="V48" s="14"/>
      <c r="W48" s="14"/>
      <c r="X48" s="15"/>
      <c r="Y48" s="14"/>
      <c r="Z48" s="14"/>
    </row>
    <row r="49" ht="15.75" customHeight="1">
      <c r="A49" s="13" t="str">
        <f t="shared" si="1"/>
        <v/>
      </c>
      <c r="B49" s="15"/>
      <c r="C49" s="15"/>
      <c r="D49" s="15"/>
      <c r="E49" s="14"/>
      <c r="F49" s="14"/>
      <c r="G49" s="14"/>
      <c r="H49" s="14"/>
      <c r="I49" s="14"/>
      <c r="J49" s="14"/>
      <c r="K49" s="14"/>
      <c r="L49" s="14"/>
      <c r="M49" s="13" t="str">
        <f t="shared" si="2"/>
        <v/>
      </c>
      <c r="N49" s="13" t="str">
        <f t="shared" si="3"/>
        <v/>
      </c>
      <c r="O49" s="13" t="str">
        <f t="shared" si="4"/>
        <v/>
      </c>
      <c r="P49" s="14"/>
      <c r="Q49" s="14"/>
      <c r="R49" s="14"/>
      <c r="S49" s="14"/>
      <c r="T49" s="14"/>
      <c r="U49" s="14"/>
      <c r="V49" s="14"/>
      <c r="W49" s="14"/>
      <c r="X49" s="15"/>
      <c r="Y49" s="14"/>
      <c r="Z49" s="14"/>
    </row>
    <row r="50" ht="15.75" customHeight="1">
      <c r="A50" s="13" t="str">
        <f t="shared" si="1"/>
        <v/>
      </c>
      <c r="B50" s="15"/>
      <c r="C50" s="15"/>
      <c r="D50" s="15"/>
      <c r="E50" s="14"/>
      <c r="F50" s="14"/>
      <c r="G50" s="14"/>
      <c r="H50" s="14"/>
      <c r="I50" s="14"/>
      <c r="J50" s="14"/>
      <c r="K50" s="14"/>
      <c r="L50" s="14"/>
      <c r="M50" s="13" t="str">
        <f t="shared" si="2"/>
        <v/>
      </c>
      <c r="N50" s="13" t="str">
        <f t="shared" si="3"/>
        <v/>
      </c>
      <c r="O50" s="13" t="str">
        <f t="shared" si="4"/>
        <v/>
      </c>
      <c r="P50" s="14"/>
      <c r="Q50" s="14"/>
      <c r="R50" s="14"/>
      <c r="S50" s="14"/>
      <c r="T50" s="14"/>
      <c r="U50" s="14"/>
      <c r="V50" s="14"/>
      <c r="W50" s="14"/>
      <c r="X50" s="15"/>
      <c r="Y50" s="14"/>
      <c r="Z50" s="14"/>
    </row>
    <row r="51" ht="15.75" customHeight="1">
      <c r="A51" s="13" t="str">
        <f t="shared" si="1"/>
        <v/>
      </c>
      <c r="B51" s="15"/>
      <c r="C51" s="15"/>
      <c r="D51" s="15"/>
      <c r="E51" s="14"/>
      <c r="F51" s="14"/>
      <c r="G51" s="14"/>
      <c r="H51" s="14"/>
      <c r="I51" s="14"/>
      <c r="J51" s="14"/>
      <c r="K51" s="14"/>
      <c r="L51" s="14"/>
      <c r="M51" s="13" t="str">
        <f t="shared" si="2"/>
        <v/>
      </c>
      <c r="N51" s="13" t="str">
        <f t="shared" si="3"/>
        <v/>
      </c>
      <c r="O51" s="13" t="str">
        <f t="shared" si="4"/>
        <v/>
      </c>
      <c r="P51" s="14"/>
      <c r="Q51" s="14"/>
      <c r="R51" s="14"/>
      <c r="S51" s="14"/>
      <c r="T51" s="14"/>
      <c r="U51" s="14"/>
      <c r="V51" s="14"/>
      <c r="W51" s="14"/>
      <c r="X51" s="15"/>
      <c r="Y51" s="14"/>
      <c r="Z51" s="14"/>
    </row>
    <row r="52" ht="15.75" customHeight="1">
      <c r="A52" s="13" t="str">
        <f t="shared" si="1"/>
        <v/>
      </c>
      <c r="B52" s="15"/>
      <c r="C52" s="15"/>
      <c r="D52" s="15"/>
      <c r="E52" s="14"/>
      <c r="F52" s="14"/>
      <c r="G52" s="14"/>
      <c r="H52" s="14"/>
      <c r="I52" s="14"/>
      <c r="J52" s="14"/>
      <c r="K52" s="14"/>
      <c r="L52" s="14"/>
      <c r="M52" s="13" t="str">
        <f t="shared" si="2"/>
        <v/>
      </c>
      <c r="N52" s="13" t="str">
        <f t="shared" si="3"/>
        <v/>
      </c>
      <c r="O52" s="13" t="str">
        <f t="shared" si="4"/>
        <v/>
      </c>
      <c r="P52" s="14"/>
      <c r="Q52" s="14"/>
      <c r="R52" s="14"/>
      <c r="S52" s="14"/>
      <c r="T52" s="14"/>
      <c r="U52" s="14"/>
      <c r="V52" s="14"/>
      <c r="W52" s="14"/>
      <c r="X52" s="15"/>
      <c r="Y52" s="14"/>
      <c r="Z52" s="14"/>
    </row>
    <row r="53" ht="15.75" customHeight="1">
      <c r="A53" s="13" t="str">
        <f t="shared" si="1"/>
        <v/>
      </c>
      <c r="B53" s="15"/>
      <c r="C53" s="15"/>
      <c r="D53" s="15"/>
      <c r="E53" s="14"/>
      <c r="F53" s="14"/>
      <c r="G53" s="14"/>
      <c r="H53" s="14"/>
      <c r="I53" s="14"/>
      <c r="J53" s="14"/>
      <c r="K53" s="14"/>
      <c r="L53" s="14"/>
      <c r="M53" s="13" t="str">
        <f t="shared" si="2"/>
        <v/>
      </c>
      <c r="N53" s="13" t="str">
        <f t="shared" si="3"/>
        <v/>
      </c>
      <c r="O53" s="13" t="str">
        <f t="shared" si="4"/>
        <v/>
      </c>
      <c r="P53" s="14"/>
      <c r="Q53" s="14"/>
      <c r="R53" s="14"/>
      <c r="S53" s="14"/>
      <c r="T53" s="14"/>
      <c r="U53" s="14"/>
      <c r="V53" s="14"/>
      <c r="W53" s="14"/>
      <c r="X53" s="15"/>
      <c r="Y53" s="14"/>
      <c r="Z53" s="14"/>
    </row>
    <row r="54" ht="15.75" customHeight="1">
      <c r="A54" s="13" t="str">
        <f t="shared" si="1"/>
        <v/>
      </c>
      <c r="B54" s="15"/>
      <c r="C54" s="15"/>
      <c r="D54" s="15"/>
      <c r="E54" s="14"/>
      <c r="F54" s="14"/>
      <c r="G54" s="14"/>
      <c r="H54" s="14"/>
      <c r="I54" s="14"/>
      <c r="J54" s="14"/>
      <c r="K54" s="14"/>
      <c r="L54" s="14"/>
      <c r="M54" s="13" t="str">
        <f t="shared" si="2"/>
        <v/>
      </c>
      <c r="N54" s="13" t="str">
        <f t="shared" si="3"/>
        <v/>
      </c>
      <c r="O54" s="13" t="str">
        <f t="shared" si="4"/>
        <v/>
      </c>
      <c r="P54" s="14"/>
      <c r="Q54" s="14"/>
      <c r="R54" s="14"/>
      <c r="S54" s="14"/>
      <c r="T54" s="14"/>
      <c r="U54" s="14"/>
      <c r="V54" s="14"/>
      <c r="W54" s="14"/>
      <c r="X54" s="15"/>
      <c r="Y54" s="14"/>
      <c r="Z54" s="14"/>
    </row>
    <row r="55" ht="15.75" customHeight="1">
      <c r="A55" s="13" t="str">
        <f t="shared" si="1"/>
        <v/>
      </c>
      <c r="B55" s="15"/>
      <c r="C55" s="15"/>
      <c r="D55" s="15"/>
      <c r="E55" s="14"/>
      <c r="F55" s="14"/>
      <c r="G55" s="14"/>
      <c r="H55" s="14"/>
      <c r="I55" s="14"/>
      <c r="J55" s="14"/>
      <c r="K55" s="14"/>
      <c r="L55" s="14"/>
      <c r="M55" s="13" t="str">
        <f t="shared" si="2"/>
        <v/>
      </c>
      <c r="N55" s="13" t="str">
        <f t="shared" si="3"/>
        <v/>
      </c>
      <c r="O55" s="13" t="str">
        <f t="shared" si="4"/>
        <v/>
      </c>
      <c r="P55" s="14"/>
      <c r="Q55" s="14"/>
      <c r="R55" s="14"/>
      <c r="S55" s="14"/>
      <c r="T55" s="14"/>
      <c r="U55" s="14"/>
      <c r="V55" s="14"/>
      <c r="W55" s="14"/>
      <c r="X55" s="15"/>
      <c r="Y55" s="14"/>
      <c r="Z55" s="14"/>
    </row>
    <row r="56" ht="15.75" customHeight="1">
      <c r="A56" s="13" t="str">
        <f t="shared" si="1"/>
        <v/>
      </c>
      <c r="B56" s="15"/>
      <c r="C56" s="15"/>
      <c r="D56" s="15"/>
      <c r="E56" s="14"/>
      <c r="F56" s="14"/>
      <c r="G56" s="14"/>
      <c r="H56" s="14"/>
      <c r="I56" s="14"/>
      <c r="J56" s="14"/>
      <c r="K56" s="14"/>
      <c r="L56" s="14"/>
      <c r="M56" s="13" t="str">
        <f t="shared" si="2"/>
        <v/>
      </c>
      <c r="N56" s="13" t="str">
        <f t="shared" si="3"/>
        <v/>
      </c>
      <c r="O56" s="13" t="str">
        <f t="shared" si="4"/>
        <v/>
      </c>
      <c r="P56" s="14"/>
      <c r="Q56" s="14"/>
      <c r="R56" s="14"/>
      <c r="S56" s="14"/>
      <c r="T56" s="14"/>
      <c r="U56" s="14"/>
      <c r="V56" s="14"/>
      <c r="W56" s="14"/>
      <c r="X56" s="15"/>
      <c r="Y56" s="14"/>
      <c r="Z56" s="14"/>
    </row>
    <row r="57" ht="15.75" customHeight="1">
      <c r="A57" s="13" t="str">
        <f t="shared" si="1"/>
        <v/>
      </c>
      <c r="B57" s="15"/>
      <c r="C57" s="15"/>
      <c r="D57" s="15"/>
      <c r="E57" s="14"/>
      <c r="F57" s="14"/>
      <c r="G57" s="14"/>
      <c r="H57" s="14"/>
      <c r="I57" s="14"/>
      <c r="J57" s="14"/>
      <c r="K57" s="14"/>
      <c r="L57" s="14"/>
      <c r="M57" s="13" t="str">
        <f t="shared" si="2"/>
        <v/>
      </c>
      <c r="N57" s="13" t="str">
        <f t="shared" si="3"/>
        <v/>
      </c>
      <c r="O57" s="13" t="str">
        <f t="shared" si="4"/>
        <v/>
      </c>
      <c r="P57" s="14"/>
      <c r="Q57" s="14"/>
      <c r="R57" s="14"/>
      <c r="S57" s="14"/>
      <c r="T57" s="14"/>
      <c r="U57" s="14"/>
      <c r="V57" s="14"/>
      <c r="W57" s="14"/>
      <c r="X57" s="15"/>
      <c r="Y57" s="14"/>
      <c r="Z57" s="14"/>
    </row>
    <row r="58" ht="15.75" customHeight="1">
      <c r="A58" s="13" t="str">
        <f t="shared" si="1"/>
        <v/>
      </c>
      <c r="B58" s="15"/>
      <c r="C58" s="15"/>
      <c r="D58" s="15"/>
      <c r="E58" s="14"/>
      <c r="F58" s="14"/>
      <c r="G58" s="14"/>
      <c r="H58" s="14"/>
      <c r="I58" s="14"/>
      <c r="J58" s="14"/>
      <c r="K58" s="14"/>
      <c r="L58" s="14"/>
      <c r="M58" s="13" t="str">
        <f t="shared" si="2"/>
        <v/>
      </c>
      <c r="N58" s="13" t="str">
        <f t="shared" si="3"/>
        <v/>
      </c>
      <c r="O58" s="13" t="str">
        <f t="shared" si="4"/>
        <v/>
      </c>
      <c r="P58" s="14"/>
      <c r="Q58" s="14"/>
      <c r="R58" s="14"/>
      <c r="S58" s="14"/>
      <c r="T58" s="14"/>
      <c r="U58" s="14"/>
      <c r="V58" s="14"/>
      <c r="W58" s="14"/>
      <c r="X58" s="15"/>
      <c r="Y58" s="14"/>
      <c r="Z58" s="14"/>
    </row>
    <row r="59" ht="15.75" customHeight="1">
      <c r="A59" s="13" t="str">
        <f t="shared" si="1"/>
        <v/>
      </c>
      <c r="B59" s="15"/>
      <c r="C59" s="15"/>
      <c r="D59" s="15"/>
      <c r="E59" s="14"/>
      <c r="F59" s="14"/>
      <c r="G59" s="14"/>
      <c r="H59" s="14"/>
      <c r="I59" s="14"/>
      <c r="J59" s="14"/>
      <c r="K59" s="14"/>
      <c r="L59" s="14"/>
      <c r="M59" s="13" t="str">
        <f t="shared" si="2"/>
        <v/>
      </c>
      <c r="N59" s="13" t="str">
        <f t="shared" si="3"/>
        <v/>
      </c>
      <c r="O59" s="13" t="str">
        <f t="shared" si="4"/>
        <v/>
      </c>
      <c r="P59" s="14"/>
      <c r="Q59" s="14"/>
      <c r="R59" s="14"/>
      <c r="S59" s="14"/>
      <c r="T59" s="14"/>
      <c r="U59" s="14"/>
      <c r="V59" s="14"/>
      <c r="W59" s="14"/>
      <c r="X59" s="15"/>
      <c r="Y59" s="14"/>
      <c r="Z59" s="14"/>
    </row>
    <row r="60" ht="15.75" customHeight="1">
      <c r="A60" s="13" t="str">
        <f t="shared" si="1"/>
        <v/>
      </c>
      <c r="B60" s="15"/>
      <c r="C60" s="15"/>
      <c r="D60" s="15"/>
      <c r="E60" s="14"/>
      <c r="F60" s="14"/>
      <c r="G60" s="14"/>
      <c r="H60" s="14"/>
      <c r="I60" s="14"/>
      <c r="J60" s="14"/>
      <c r="K60" s="14"/>
      <c r="L60" s="14"/>
      <c r="M60" s="13" t="str">
        <f t="shared" si="2"/>
        <v/>
      </c>
      <c r="N60" s="13" t="str">
        <f t="shared" si="3"/>
        <v/>
      </c>
      <c r="O60" s="13" t="str">
        <f t="shared" si="4"/>
        <v/>
      </c>
      <c r="P60" s="14"/>
      <c r="Q60" s="14"/>
      <c r="R60" s="14"/>
      <c r="S60" s="14"/>
      <c r="T60" s="14"/>
      <c r="U60" s="14"/>
      <c r="V60" s="14"/>
      <c r="W60" s="14"/>
      <c r="X60" s="15"/>
      <c r="Y60" s="14"/>
      <c r="Z60" s="14"/>
    </row>
    <row r="61" ht="15.75" customHeight="1">
      <c r="A61" s="13" t="str">
        <f t="shared" si="1"/>
        <v/>
      </c>
      <c r="B61" s="15"/>
      <c r="C61" s="15"/>
      <c r="D61" s="15"/>
      <c r="E61" s="14"/>
      <c r="F61" s="14"/>
      <c r="G61" s="14"/>
      <c r="H61" s="14"/>
      <c r="I61" s="14"/>
      <c r="J61" s="14"/>
      <c r="K61" s="14"/>
      <c r="L61" s="14"/>
      <c r="M61" s="13" t="str">
        <f t="shared" si="2"/>
        <v/>
      </c>
      <c r="N61" s="13" t="str">
        <f t="shared" si="3"/>
        <v/>
      </c>
      <c r="O61" s="13" t="str">
        <f t="shared" si="4"/>
        <v/>
      </c>
      <c r="P61" s="14"/>
      <c r="Q61" s="14"/>
      <c r="R61" s="14"/>
      <c r="S61" s="14"/>
      <c r="T61" s="14"/>
      <c r="U61" s="14"/>
      <c r="V61" s="14"/>
      <c r="W61" s="14"/>
      <c r="X61" s="15"/>
      <c r="Y61" s="14"/>
      <c r="Z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X2:X61">
      <formula1>People_Roster!$A$2:$A$61</formula1>
    </dataValidation>
    <dataValidation type="list" allowBlank="1" showInputMessage="1" showErrorMessage="1" prompt="Invalid ID - Please choose a valid studio_id from Studio_Master." sqref="D2:D61">
      <formula1>Studio_Master!$A$2:$A$61</formula1>
    </dataValidation>
    <dataValidation type="list" allowBlank="1" showInputMessage="1" showErrorMessage="1" prompt="Invalid entry - Please choose a value from the dropdown list only." sqref="Q2:R61">
      <formula1>Lists!$B$2:$B$3</formula1>
    </dataValidation>
    <dataValidation type="list" allowBlank="1" showInputMessage="1" showErrorMessage="1" prompt="Invalid ID - Please choose a valid theatre_id from Theatre_Master." sqref="C2:C61">
      <formula1>Theatre_Master!$A$2:$A$61</formula1>
    </dataValidation>
    <dataValidation type="list" allowBlank="1" showInputMessage="1" showErrorMessage="1" prompt="Invalid ID - Please choose a valid heartbeat_id from Hourly_Heartbeat." sqref="B2:B61">
      <formula1>Hourly_Heartbeat!$A$2:$A$61</formula1>
    </dataValidation>
    <dataValidation type="list" allowBlank="1" showInputMessage="1" showErrorMessage="1" prompt="Invalid entry - Please choose a value from the dropdown list only." sqref="E2:E61">
      <formula1>Lists!$C$2:$C$3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1" width="22.0"/>
    <col customWidth="1" min="22" max="26" width="8.71"/>
  </cols>
  <sheetData>
    <row r="1" ht="30.0" customHeight="1">
      <c r="A1" s="5" t="s">
        <v>374</v>
      </c>
      <c r="B1" s="5" t="s">
        <v>273</v>
      </c>
      <c r="C1" s="5" t="s">
        <v>208</v>
      </c>
      <c r="D1" s="5" t="s">
        <v>244</v>
      </c>
      <c r="E1" s="5" t="s">
        <v>243</v>
      </c>
      <c r="F1" s="5" t="s">
        <v>279</v>
      </c>
      <c r="G1" s="5" t="s">
        <v>280</v>
      </c>
      <c r="H1" s="5" t="s">
        <v>375</v>
      </c>
      <c r="I1" s="5" t="s">
        <v>288</v>
      </c>
      <c r="J1" s="5" t="s">
        <v>376</v>
      </c>
      <c r="K1" s="5" t="s">
        <v>377</v>
      </c>
      <c r="L1" s="5" t="s">
        <v>289</v>
      </c>
      <c r="M1" s="5" t="s">
        <v>290</v>
      </c>
      <c r="N1" s="5" t="s">
        <v>378</v>
      </c>
      <c r="O1" s="5" t="s">
        <v>295</v>
      </c>
      <c r="P1" s="5" t="s">
        <v>296</v>
      </c>
      <c r="Q1" s="5" t="s">
        <v>297</v>
      </c>
      <c r="R1" s="5" t="s">
        <v>298</v>
      </c>
      <c r="S1" s="5" t="s">
        <v>262</v>
      </c>
      <c r="T1" s="5" t="s">
        <v>156</v>
      </c>
      <c r="U1" s="5" t="s">
        <v>276</v>
      </c>
    </row>
    <row r="2">
      <c r="A2" s="13" t="str">
        <f t="shared" ref="A2:A61" si="1">IF($B2="","","WRK-"&amp;TEXT(ROW()-1,"000"))</f>
        <v/>
      </c>
      <c r="B2" s="15"/>
      <c r="C2" s="15"/>
      <c r="D2" s="14"/>
      <c r="E2" s="15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5"/>
      <c r="R2" s="14"/>
      <c r="S2" s="14"/>
      <c r="T2" s="14"/>
      <c r="U2" s="14"/>
    </row>
    <row r="3">
      <c r="A3" s="13" t="str">
        <f t="shared" si="1"/>
        <v/>
      </c>
      <c r="B3" s="15"/>
      <c r="C3" s="15"/>
      <c r="D3" s="14"/>
      <c r="E3" s="15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5"/>
      <c r="R3" s="14"/>
      <c r="S3" s="14"/>
      <c r="T3" s="14"/>
      <c r="U3" s="14"/>
    </row>
    <row r="4">
      <c r="A4" s="13" t="str">
        <f t="shared" si="1"/>
        <v/>
      </c>
      <c r="B4" s="15"/>
      <c r="C4" s="15"/>
      <c r="D4" s="14"/>
      <c r="E4" s="15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  <c r="R4" s="14"/>
      <c r="S4" s="14"/>
      <c r="T4" s="14"/>
      <c r="U4" s="14"/>
    </row>
    <row r="5">
      <c r="A5" s="13" t="str">
        <f t="shared" si="1"/>
        <v/>
      </c>
      <c r="B5" s="15"/>
      <c r="C5" s="15"/>
      <c r="D5" s="14"/>
      <c r="E5" s="15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4"/>
      <c r="S5" s="14"/>
      <c r="T5" s="14"/>
      <c r="U5" s="14"/>
    </row>
    <row r="6">
      <c r="A6" s="13" t="str">
        <f t="shared" si="1"/>
        <v/>
      </c>
      <c r="B6" s="15"/>
      <c r="C6" s="15"/>
      <c r="D6" s="14"/>
      <c r="E6" s="1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5"/>
      <c r="R6" s="14"/>
      <c r="S6" s="14"/>
      <c r="T6" s="14"/>
      <c r="U6" s="14"/>
    </row>
    <row r="7">
      <c r="A7" s="13" t="str">
        <f t="shared" si="1"/>
        <v/>
      </c>
      <c r="B7" s="15"/>
      <c r="C7" s="15"/>
      <c r="D7" s="14"/>
      <c r="E7" s="15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5"/>
      <c r="R7" s="14"/>
      <c r="S7" s="14"/>
      <c r="T7" s="14"/>
      <c r="U7" s="14"/>
    </row>
    <row r="8">
      <c r="A8" s="13" t="str">
        <f t="shared" si="1"/>
        <v/>
      </c>
      <c r="B8" s="15"/>
      <c r="C8" s="15"/>
      <c r="D8" s="14"/>
      <c r="E8" s="15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5"/>
      <c r="R8" s="14"/>
      <c r="S8" s="14"/>
      <c r="T8" s="14"/>
      <c r="U8" s="14"/>
    </row>
    <row r="9">
      <c r="A9" s="13" t="str">
        <f t="shared" si="1"/>
        <v/>
      </c>
      <c r="B9" s="15"/>
      <c r="C9" s="15"/>
      <c r="D9" s="14"/>
      <c r="E9" s="15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5"/>
      <c r="R9" s="14"/>
      <c r="S9" s="14"/>
      <c r="T9" s="14"/>
      <c r="U9" s="14"/>
    </row>
    <row r="10">
      <c r="A10" s="13" t="str">
        <f t="shared" si="1"/>
        <v/>
      </c>
      <c r="B10" s="15"/>
      <c r="C10" s="15"/>
      <c r="D10" s="14"/>
      <c r="E10" s="15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5"/>
      <c r="R10" s="14"/>
      <c r="S10" s="14"/>
      <c r="T10" s="14"/>
      <c r="U10" s="14"/>
    </row>
    <row r="11">
      <c r="A11" s="13" t="str">
        <f t="shared" si="1"/>
        <v/>
      </c>
      <c r="B11" s="15"/>
      <c r="C11" s="15"/>
      <c r="D11" s="14"/>
      <c r="E11" s="15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5"/>
      <c r="R11" s="14"/>
      <c r="S11" s="14"/>
      <c r="T11" s="14"/>
      <c r="U11" s="14"/>
    </row>
    <row r="12">
      <c r="A12" s="13" t="str">
        <f t="shared" si="1"/>
        <v/>
      </c>
      <c r="B12" s="15"/>
      <c r="C12" s="15"/>
      <c r="D12" s="14"/>
      <c r="E12" s="15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5"/>
      <c r="R12" s="14"/>
      <c r="S12" s="14"/>
      <c r="T12" s="14"/>
      <c r="U12" s="14"/>
    </row>
    <row r="13">
      <c r="A13" s="13" t="str">
        <f t="shared" si="1"/>
        <v/>
      </c>
      <c r="B13" s="15"/>
      <c r="C13" s="15"/>
      <c r="D13" s="14"/>
      <c r="E13" s="15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5"/>
      <c r="R13" s="14"/>
      <c r="S13" s="14"/>
      <c r="T13" s="14"/>
      <c r="U13" s="14"/>
    </row>
    <row r="14">
      <c r="A14" s="13" t="str">
        <f t="shared" si="1"/>
        <v/>
      </c>
      <c r="B14" s="15"/>
      <c r="C14" s="15"/>
      <c r="D14" s="14"/>
      <c r="E14" s="15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5"/>
      <c r="R14" s="14"/>
      <c r="S14" s="14"/>
      <c r="T14" s="14"/>
      <c r="U14" s="14"/>
    </row>
    <row r="15">
      <c r="A15" s="13" t="str">
        <f t="shared" si="1"/>
        <v/>
      </c>
      <c r="B15" s="15"/>
      <c r="C15" s="15"/>
      <c r="D15" s="14"/>
      <c r="E15" s="15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5"/>
      <c r="R15" s="14"/>
      <c r="S15" s="14"/>
      <c r="T15" s="14"/>
      <c r="U15" s="14"/>
    </row>
    <row r="16">
      <c r="A16" s="13" t="str">
        <f t="shared" si="1"/>
        <v/>
      </c>
      <c r="B16" s="15"/>
      <c r="C16" s="15"/>
      <c r="D16" s="14"/>
      <c r="E16" s="15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4"/>
      <c r="S16" s="14"/>
      <c r="T16" s="14"/>
      <c r="U16" s="14"/>
    </row>
    <row r="17">
      <c r="A17" s="13" t="str">
        <f t="shared" si="1"/>
        <v/>
      </c>
      <c r="B17" s="15"/>
      <c r="C17" s="15"/>
      <c r="D17" s="14"/>
      <c r="E17" s="15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4"/>
      <c r="S17" s="14"/>
      <c r="T17" s="14"/>
      <c r="U17" s="14"/>
    </row>
    <row r="18">
      <c r="A18" s="13" t="str">
        <f t="shared" si="1"/>
        <v/>
      </c>
      <c r="B18" s="15"/>
      <c r="C18" s="15"/>
      <c r="D18" s="14"/>
      <c r="E18" s="15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5"/>
      <c r="R18" s="14"/>
      <c r="S18" s="14"/>
      <c r="T18" s="14"/>
      <c r="U18" s="14"/>
    </row>
    <row r="19">
      <c r="A19" s="13" t="str">
        <f t="shared" si="1"/>
        <v/>
      </c>
      <c r="B19" s="15"/>
      <c r="C19" s="15"/>
      <c r="D19" s="14"/>
      <c r="E19" s="15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5"/>
      <c r="R19" s="14"/>
      <c r="S19" s="14"/>
      <c r="T19" s="14"/>
      <c r="U19" s="14"/>
    </row>
    <row r="20">
      <c r="A20" s="13" t="str">
        <f t="shared" si="1"/>
        <v/>
      </c>
      <c r="B20" s="15"/>
      <c r="C20" s="15"/>
      <c r="D20" s="14"/>
      <c r="E20" s="15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5"/>
      <c r="R20" s="14"/>
      <c r="S20" s="14"/>
      <c r="T20" s="14"/>
      <c r="U20" s="14"/>
    </row>
    <row r="21" ht="15.75" customHeight="1">
      <c r="A21" s="13" t="str">
        <f t="shared" si="1"/>
        <v/>
      </c>
      <c r="B21" s="15"/>
      <c r="C21" s="15"/>
      <c r="D21" s="14"/>
      <c r="E21" s="15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5"/>
      <c r="R21" s="14"/>
      <c r="S21" s="14"/>
      <c r="T21" s="14"/>
      <c r="U21" s="14"/>
    </row>
    <row r="22" ht="15.75" customHeight="1">
      <c r="A22" s="13" t="str">
        <f t="shared" si="1"/>
        <v/>
      </c>
      <c r="B22" s="15"/>
      <c r="C22" s="15"/>
      <c r="D22" s="14"/>
      <c r="E22" s="15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5"/>
      <c r="R22" s="14"/>
      <c r="S22" s="14"/>
      <c r="T22" s="14"/>
      <c r="U22" s="14"/>
    </row>
    <row r="23" ht="15.75" customHeight="1">
      <c r="A23" s="13" t="str">
        <f t="shared" si="1"/>
        <v/>
      </c>
      <c r="B23" s="15"/>
      <c r="C23" s="15"/>
      <c r="D23" s="14"/>
      <c r="E23" s="15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5"/>
      <c r="R23" s="14"/>
      <c r="S23" s="14"/>
      <c r="T23" s="14"/>
      <c r="U23" s="14"/>
    </row>
    <row r="24" ht="15.75" customHeight="1">
      <c r="A24" s="13" t="str">
        <f t="shared" si="1"/>
        <v/>
      </c>
      <c r="B24" s="15"/>
      <c r="C24" s="15"/>
      <c r="D24" s="14"/>
      <c r="E24" s="15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  <c r="R24" s="14"/>
      <c r="S24" s="14"/>
      <c r="T24" s="14"/>
      <c r="U24" s="14"/>
    </row>
    <row r="25" ht="15.75" customHeight="1">
      <c r="A25" s="13" t="str">
        <f t="shared" si="1"/>
        <v/>
      </c>
      <c r="B25" s="15"/>
      <c r="C25" s="15"/>
      <c r="D25" s="14"/>
      <c r="E25" s="15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5"/>
      <c r="R25" s="14"/>
      <c r="S25" s="14"/>
      <c r="T25" s="14"/>
      <c r="U25" s="14"/>
    </row>
    <row r="26" ht="15.75" customHeight="1">
      <c r="A26" s="13" t="str">
        <f t="shared" si="1"/>
        <v/>
      </c>
      <c r="B26" s="15"/>
      <c r="C26" s="15"/>
      <c r="D26" s="14"/>
      <c r="E26" s="15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4"/>
      <c r="S26" s="14"/>
      <c r="T26" s="14"/>
      <c r="U26" s="14"/>
    </row>
    <row r="27" ht="15.75" customHeight="1">
      <c r="A27" s="13" t="str">
        <f t="shared" si="1"/>
        <v/>
      </c>
      <c r="B27" s="15"/>
      <c r="C27" s="15"/>
      <c r="D27" s="14"/>
      <c r="E27" s="15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5"/>
      <c r="R27" s="14"/>
      <c r="S27" s="14"/>
      <c r="T27" s="14"/>
      <c r="U27" s="14"/>
    </row>
    <row r="28" ht="15.75" customHeight="1">
      <c r="A28" s="13" t="str">
        <f t="shared" si="1"/>
        <v/>
      </c>
      <c r="B28" s="15"/>
      <c r="C28" s="15"/>
      <c r="D28" s="14"/>
      <c r="E28" s="15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5"/>
      <c r="R28" s="14"/>
      <c r="S28" s="14"/>
      <c r="T28" s="14"/>
      <c r="U28" s="14"/>
    </row>
    <row r="29" ht="15.75" customHeight="1">
      <c r="A29" s="13" t="str">
        <f t="shared" si="1"/>
        <v/>
      </c>
      <c r="B29" s="15"/>
      <c r="C29" s="15"/>
      <c r="D29" s="14"/>
      <c r="E29" s="15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5"/>
      <c r="R29" s="14"/>
      <c r="S29" s="14"/>
      <c r="T29" s="14"/>
      <c r="U29" s="14"/>
    </row>
    <row r="30" ht="15.75" customHeight="1">
      <c r="A30" s="13" t="str">
        <f t="shared" si="1"/>
        <v/>
      </c>
      <c r="B30" s="15"/>
      <c r="C30" s="15"/>
      <c r="D30" s="14"/>
      <c r="E30" s="15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5"/>
      <c r="R30" s="14"/>
      <c r="S30" s="14"/>
      <c r="T30" s="14"/>
      <c r="U30" s="14"/>
    </row>
    <row r="31" ht="15.75" customHeight="1">
      <c r="A31" s="13" t="str">
        <f t="shared" si="1"/>
        <v/>
      </c>
      <c r="B31" s="15"/>
      <c r="C31" s="15"/>
      <c r="D31" s="14"/>
      <c r="E31" s="15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5"/>
      <c r="R31" s="14"/>
      <c r="S31" s="14"/>
      <c r="T31" s="14"/>
      <c r="U31" s="14"/>
    </row>
    <row r="32" ht="15.75" customHeight="1">
      <c r="A32" s="13" t="str">
        <f t="shared" si="1"/>
        <v/>
      </c>
      <c r="B32" s="15"/>
      <c r="C32" s="15"/>
      <c r="D32" s="14"/>
      <c r="E32" s="15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5"/>
      <c r="R32" s="14"/>
      <c r="S32" s="14"/>
      <c r="T32" s="14"/>
      <c r="U32" s="14"/>
    </row>
    <row r="33" ht="15.75" customHeight="1">
      <c r="A33" s="13" t="str">
        <f t="shared" si="1"/>
        <v/>
      </c>
      <c r="B33" s="15"/>
      <c r="C33" s="15"/>
      <c r="D33" s="14"/>
      <c r="E33" s="15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5"/>
      <c r="R33" s="14"/>
      <c r="S33" s="14"/>
      <c r="T33" s="14"/>
      <c r="U33" s="14"/>
    </row>
    <row r="34" ht="15.75" customHeight="1">
      <c r="A34" s="13" t="str">
        <f t="shared" si="1"/>
        <v/>
      </c>
      <c r="B34" s="15"/>
      <c r="C34" s="15"/>
      <c r="D34" s="14"/>
      <c r="E34" s="15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5"/>
      <c r="R34" s="14"/>
      <c r="S34" s="14"/>
      <c r="T34" s="14"/>
      <c r="U34" s="14"/>
    </row>
    <row r="35" ht="15.75" customHeight="1">
      <c r="A35" s="13" t="str">
        <f t="shared" si="1"/>
        <v/>
      </c>
      <c r="B35" s="15"/>
      <c r="C35" s="15"/>
      <c r="D35" s="14"/>
      <c r="E35" s="15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5"/>
      <c r="R35" s="14"/>
      <c r="S35" s="14"/>
      <c r="T35" s="14"/>
      <c r="U35" s="14"/>
    </row>
    <row r="36" ht="15.75" customHeight="1">
      <c r="A36" s="13" t="str">
        <f t="shared" si="1"/>
        <v/>
      </c>
      <c r="B36" s="15"/>
      <c r="C36" s="15"/>
      <c r="D36" s="14"/>
      <c r="E36" s="15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5"/>
      <c r="R36" s="14"/>
      <c r="S36" s="14"/>
      <c r="T36" s="14"/>
      <c r="U36" s="14"/>
    </row>
    <row r="37" ht="15.75" customHeight="1">
      <c r="A37" s="13" t="str">
        <f t="shared" si="1"/>
        <v/>
      </c>
      <c r="B37" s="15"/>
      <c r="C37" s="15"/>
      <c r="D37" s="14"/>
      <c r="E37" s="15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5"/>
      <c r="R37" s="14"/>
      <c r="S37" s="14"/>
      <c r="T37" s="14"/>
      <c r="U37" s="14"/>
    </row>
    <row r="38" ht="15.75" customHeight="1">
      <c r="A38" s="13" t="str">
        <f t="shared" si="1"/>
        <v/>
      </c>
      <c r="B38" s="15"/>
      <c r="C38" s="15"/>
      <c r="D38" s="14"/>
      <c r="E38" s="15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5"/>
      <c r="R38" s="14"/>
      <c r="S38" s="14"/>
      <c r="T38" s="14"/>
      <c r="U38" s="14"/>
    </row>
    <row r="39" ht="15.75" customHeight="1">
      <c r="A39" s="13" t="str">
        <f t="shared" si="1"/>
        <v/>
      </c>
      <c r="B39" s="15"/>
      <c r="C39" s="15"/>
      <c r="D39" s="14"/>
      <c r="E39" s="15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5"/>
      <c r="R39" s="14"/>
      <c r="S39" s="14"/>
      <c r="T39" s="14"/>
      <c r="U39" s="14"/>
    </row>
    <row r="40" ht="15.75" customHeight="1">
      <c r="A40" s="13" t="str">
        <f t="shared" si="1"/>
        <v/>
      </c>
      <c r="B40" s="15"/>
      <c r="C40" s="15"/>
      <c r="D40" s="14"/>
      <c r="E40" s="15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5"/>
      <c r="R40" s="14"/>
      <c r="S40" s="14"/>
      <c r="T40" s="14"/>
      <c r="U40" s="14"/>
    </row>
    <row r="41" ht="15.75" customHeight="1">
      <c r="A41" s="13" t="str">
        <f t="shared" si="1"/>
        <v/>
      </c>
      <c r="B41" s="15"/>
      <c r="C41" s="15"/>
      <c r="D41" s="14"/>
      <c r="E41" s="15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5"/>
      <c r="R41" s="14"/>
      <c r="S41" s="14"/>
      <c r="T41" s="14"/>
      <c r="U41" s="14"/>
    </row>
    <row r="42" ht="15.75" customHeight="1">
      <c r="A42" s="13" t="str">
        <f t="shared" si="1"/>
        <v/>
      </c>
      <c r="B42" s="15"/>
      <c r="C42" s="15"/>
      <c r="D42" s="14"/>
      <c r="E42" s="15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5"/>
      <c r="R42" s="14"/>
      <c r="S42" s="14"/>
      <c r="T42" s="14"/>
      <c r="U42" s="14"/>
    </row>
    <row r="43" ht="15.75" customHeight="1">
      <c r="A43" s="13" t="str">
        <f t="shared" si="1"/>
        <v/>
      </c>
      <c r="B43" s="15"/>
      <c r="C43" s="15"/>
      <c r="D43" s="14"/>
      <c r="E43" s="15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5"/>
      <c r="R43" s="14"/>
      <c r="S43" s="14"/>
      <c r="T43" s="14"/>
      <c r="U43" s="14"/>
    </row>
    <row r="44" ht="15.75" customHeight="1">
      <c r="A44" s="13" t="str">
        <f t="shared" si="1"/>
        <v/>
      </c>
      <c r="B44" s="15"/>
      <c r="C44" s="15"/>
      <c r="D44" s="14"/>
      <c r="E44" s="15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5"/>
      <c r="R44" s="14"/>
      <c r="S44" s="14"/>
      <c r="T44" s="14"/>
      <c r="U44" s="14"/>
    </row>
    <row r="45" ht="15.75" customHeight="1">
      <c r="A45" s="13" t="str">
        <f t="shared" si="1"/>
        <v/>
      </c>
      <c r="B45" s="15"/>
      <c r="C45" s="15"/>
      <c r="D45" s="14"/>
      <c r="E45" s="15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5"/>
      <c r="R45" s="14"/>
      <c r="S45" s="14"/>
      <c r="T45" s="14"/>
      <c r="U45" s="14"/>
    </row>
    <row r="46" ht="15.75" customHeight="1">
      <c r="A46" s="13" t="str">
        <f t="shared" si="1"/>
        <v/>
      </c>
      <c r="B46" s="15"/>
      <c r="C46" s="15"/>
      <c r="D46" s="14"/>
      <c r="E46" s="15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5"/>
      <c r="R46" s="14"/>
      <c r="S46" s="14"/>
      <c r="T46" s="14"/>
      <c r="U46" s="14"/>
    </row>
    <row r="47" ht="15.75" customHeight="1">
      <c r="A47" s="13" t="str">
        <f t="shared" si="1"/>
        <v/>
      </c>
      <c r="B47" s="15"/>
      <c r="C47" s="15"/>
      <c r="D47" s="14"/>
      <c r="E47" s="15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5"/>
      <c r="R47" s="14"/>
      <c r="S47" s="14"/>
      <c r="T47" s="14"/>
      <c r="U47" s="14"/>
    </row>
    <row r="48" ht="15.75" customHeight="1">
      <c r="A48" s="13" t="str">
        <f t="shared" si="1"/>
        <v/>
      </c>
      <c r="B48" s="15"/>
      <c r="C48" s="15"/>
      <c r="D48" s="14"/>
      <c r="E48" s="15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5"/>
      <c r="R48" s="14"/>
      <c r="S48" s="14"/>
      <c r="T48" s="14"/>
      <c r="U48" s="14"/>
    </row>
    <row r="49" ht="15.75" customHeight="1">
      <c r="A49" s="13" t="str">
        <f t="shared" si="1"/>
        <v/>
      </c>
      <c r="B49" s="15"/>
      <c r="C49" s="15"/>
      <c r="D49" s="14"/>
      <c r="E49" s="15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5"/>
      <c r="R49" s="14"/>
      <c r="S49" s="14"/>
      <c r="T49" s="14"/>
      <c r="U49" s="14"/>
    </row>
    <row r="50" ht="15.75" customHeight="1">
      <c r="A50" s="13" t="str">
        <f t="shared" si="1"/>
        <v/>
      </c>
      <c r="B50" s="15"/>
      <c r="C50" s="15"/>
      <c r="D50" s="14"/>
      <c r="E50" s="15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5"/>
      <c r="R50" s="14"/>
      <c r="S50" s="14"/>
      <c r="T50" s="14"/>
      <c r="U50" s="14"/>
    </row>
    <row r="51" ht="15.75" customHeight="1">
      <c r="A51" s="13" t="str">
        <f t="shared" si="1"/>
        <v/>
      </c>
      <c r="B51" s="15"/>
      <c r="C51" s="15"/>
      <c r="D51" s="14"/>
      <c r="E51" s="15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5"/>
      <c r="R51" s="14"/>
      <c r="S51" s="14"/>
      <c r="T51" s="14"/>
      <c r="U51" s="14"/>
    </row>
    <row r="52" ht="15.75" customHeight="1">
      <c r="A52" s="13" t="str">
        <f t="shared" si="1"/>
        <v/>
      </c>
      <c r="B52" s="15"/>
      <c r="C52" s="15"/>
      <c r="D52" s="14"/>
      <c r="E52" s="15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5"/>
      <c r="R52" s="14"/>
      <c r="S52" s="14"/>
      <c r="T52" s="14"/>
      <c r="U52" s="14"/>
    </row>
    <row r="53" ht="15.75" customHeight="1">
      <c r="A53" s="13" t="str">
        <f t="shared" si="1"/>
        <v/>
      </c>
      <c r="B53" s="15"/>
      <c r="C53" s="15"/>
      <c r="D53" s="14"/>
      <c r="E53" s="15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5"/>
      <c r="R53" s="14"/>
      <c r="S53" s="14"/>
      <c r="T53" s="14"/>
      <c r="U53" s="14"/>
    </row>
    <row r="54" ht="15.75" customHeight="1">
      <c r="A54" s="13" t="str">
        <f t="shared" si="1"/>
        <v/>
      </c>
      <c r="B54" s="15"/>
      <c r="C54" s="15"/>
      <c r="D54" s="14"/>
      <c r="E54" s="15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5"/>
      <c r="R54" s="14"/>
      <c r="S54" s="14"/>
      <c r="T54" s="14"/>
      <c r="U54" s="14"/>
    </row>
    <row r="55" ht="15.75" customHeight="1">
      <c r="A55" s="13" t="str">
        <f t="shared" si="1"/>
        <v/>
      </c>
      <c r="B55" s="15"/>
      <c r="C55" s="15"/>
      <c r="D55" s="14"/>
      <c r="E55" s="15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5"/>
      <c r="R55" s="14"/>
      <c r="S55" s="14"/>
      <c r="T55" s="14"/>
      <c r="U55" s="14"/>
    </row>
    <row r="56" ht="15.75" customHeight="1">
      <c r="A56" s="13" t="str">
        <f t="shared" si="1"/>
        <v/>
      </c>
      <c r="B56" s="15"/>
      <c r="C56" s="15"/>
      <c r="D56" s="14"/>
      <c r="E56" s="15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5"/>
      <c r="R56" s="14"/>
      <c r="S56" s="14"/>
      <c r="T56" s="14"/>
      <c r="U56" s="14"/>
    </row>
    <row r="57" ht="15.75" customHeight="1">
      <c r="A57" s="13" t="str">
        <f t="shared" si="1"/>
        <v/>
      </c>
      <c r="B57" s="15"/>
      <c r="C57" s="15"/>
      <c r="D57" s="14"/>
      <c r="E57" s="15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5"/>
      <c r="R57" s="14"/>
      <c r="S57" s="14"/>
      <c r="T57" s="14"/>
      <c r="U57" s="14"/>
    </row>
    <row r="58" ht="15.75" customHeight="1">
      <c r="A58" s="13" t="str">
        <f t="shared" si="1"/>
        <v/>
      </c>
      <c r="B58" s="15"/>
      <c r="C58" s="15"/>
      <c r="D58" s="14"/>
      <c r="E58" s="15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5"/>
      <c r="R58" s="14"/>
      <c r="S58" s="14"/>
      <c r="T58" s="14"/>
      <c r="U58" s="14"/>
    </row>
    <row r="59" ht="15.75" customHeight="1">
      <c r="A59" s="13" t="str">
        <f t="shared" si="1"/>
        <v/>
      </c>
      <c r="B59" s="15"/>
      <c r="C59" s="15"/>
      <c r="D59" s="14"/>
      <c r="E59" s="15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5"/>
      <c r="R59" s="14"/>
      <c r="S59" s="14"/>
      <c r="T59" s="14"/>
      <c r="U59" s="14"/>
    </row>
    <row r="60" ht="15.75" customHeight="1">
      <c r="A60" s="13" t="str">
        <f t="shared" si="1"/>
        <v/>
      </c>
      <c r="B60" s="15"/>
      <c r="C60" s="15"/>
      <c r="D60" s="14"/>
      <c r="E60" s="15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5"/>
      <c r="R60" s="14"/>
      <c r="S60" s="14"/>
      <c r="T60" s="14"/>
      <c r="U60" s="14"/>
    </row>
    <row r="61" ht="15.75" customHeight="1">
      <c r="A61" s="13" t="str">
        <f t="shared" si="1"/>
        <v/>
      </c>
      <c r="B61" s="15"/>
      <c r="C61" s="15"/>
      <c r="D61" s="14"/>
      <c r="E61" s="15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/>
      <c r="R61" s="14"/>
      <c r="S61" s="14"/>
      <c r="T61" s="14"/>
      <c r="U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Q2:Q61">
      <formula1>People_Roster!$A$2:$A$61</formula1>
    </dataValidation>
    <dataValidation type="list" allowBlank="1" showInputMessage="1" showErrorMessage="1" prompt="Invalid entry - Please choose a value from the dropdown list only." sqref="K2:K61">
      <formula1>Lists!$B$2:$B$3</formula1>
    </dataValidation>
    <dataValidation type="list" allowBlank="1" showInputMessage="1" showErrorMessage="1" prompt="Invalid ID - Please choose a valid demand_id from Enterprise_Demand." sqref="E2:E61">
      <formula1>Enterprise_Demand!$A$2:$A$61</formula1>
    </dataValidation>
    <dataValidation type="list" allowBlank="1" showInputMessage="1" showErrorMessage="1" prompt="Invalid ID - Please choose a valid theatre_id from Theatre_Master." sqref="C2:C61">
      <formula1>Theatre_Master!$A$2:$A$61</formula1>
    </dataValidation>
    <dataValidation type="list" allowBlank="1" showInputMessage="1" showErrorMessage="1" prompt="Invalid ID - Please choose a valid heartbeat_id from Hourly_Heartbeat." sqref="B2:B61">
      <formula1>Hourly_Heartbeat!$A$2:$A$61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26" width="22.0"/>
  </cols>
  <sheetData>
    <row r="1" ht="30.0" customHeight="1">
      <c r="A1" s="5" t="s">
        <v>379</v>
      </c>
      <c r="B1" s="5" t="s">
        <v>273</v>
      </c>
      <c r="C1" s="5" t="s">
        <v>208</v>
      </c>
      <c r="D1" s="5" t="s">
        <v>214</v>
      </c>
      <c r="E1" s="5" t="s">
        <v>380</v>
      </c>
      <c r="F1" s="5" t="s">
        <v>381</v>
      </c>
      <c r="G1" s="5" t="s">
        <v>382</v>
      </c>
      <c r="H1" s="5" t="s">
        <v>383</v>
      </c>
      <c r="I1" s="5" t="s">
        <v>384</v>
      </c>
      <c r="J1" s="5" t="s">
        <v>385</v>
      </c>
      <c r="K1" s="5" t="s">
        <v>386</v>
      </c>
      <c r="L1" s="5" t="s">
        <v>291</v>
      </c>
      <c r="M1" s="5" t="s">
        <v>292</v>
      </c>
      <c r="N1" s="5" t="s">
        <v>387</v>
      </c>
      <c r="O1" s="5" t="s">
        <v>388</v>
      </c>
      <c r="P1" s="5" t="s">
        <v>389</v>
      </c>
      <c r="Q1" s="5" t="s">
        <v>390</v>
      </c>
      <c r="R1" s="5" t="s">
        <v>295</v>
      </c>
      <c r="S1" s="5" t="s">
        <v>296</v>
      </c>
      <c r="T1" s="5" t="s">
        <v>297</v>
      </c>
      <c r="U1" s="5" t="s">
        <v>298</v>
      </c>
      <c r="V1" s="5" t="s">
        <v>320</v>
      </c>
      <c r="W1" s="5" t="s">
        <v>262</v>
      </c>
      <c r="X1" s="5" t="s">
        <v>156</v>
      </c>
      <c r="Y1" s="5" t="s">
        <v>276</v>
      </c>
      <c r="Z1" s="5" t="s">
        <v>391</v>
      </c>
    </row>
    <row r="2">
      <c r="A2" s="13" t="str">
        <f t="shared" ref="A2:A61" si="1">IF($B2="","","ESS-"&amp;TEXT(ROW()-1,"000"))</f>
        <v/>
      </c>
      <c r="B2" s="15"/>
      <c r="C2" s="15"/>
      <c r="D2" s="15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3" t="str">
        <f t="shared" ref="P2:P61" si="2">IF($B2="","",IF($L2="","",$L2*0))</f>
        <v/>
      </c>
      <c r="Q2" s="13" t="str">
        <f t="shared" ref="Q2:Q61" si="3">IF($B2="","",IF($L2="","",$L2-$N2-$O2))</f>
        <v/>
      </c>
      <c r="R2" s="14"/>
      <c r="S2" s="14"/>
      <c r="T2" s="15"/>
      <c r="U2" s="14"/>
      <c r="V2" s="14"/>
      <c r="W2" s="14"/>
      <c r="X2" s="14"/>
      <c r="Y2" s="14"/>
      <c r="Z2" s="15"/>
    </row>
    <row r="3">
      <c r="A3" s="13" t="str">
        <f t="shared" si="1"/>
        <v/>
      </c>
      <c r="B3" s="15"/>
      <c r="C3" s="15"/>
      <c r="D3" s="15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3" t="str">
        <f t="shared" si="2"/>
        <v/>
      </c>
      <c r="Q3" s="13" t="str">
        <f t="shared" si="3"/>
        <v/>
      </c>
      <c r="R3" s="14"/>
      <c r="S3" s="14"/>
      <c r="T3" s="15"/>
      <c r="U3" s="14"/>
      <c r="V3" s="14"/>
      <c r="W3" s="14"/>
      <c r="X3" s="14"/>
      <c r="Y3" s="14"/>
      <c r="Z3" s="15"/>
    </row>
    <row r="4">
      <c r="A4" s="13" t="str">
        <f t="shared" si="1"/>
        <v/>
      </c>
      <c r="B4" s="15"/>
      <c r="C4" s="15"/>
      <c r="D4" s="15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3" t="str">
        <f t="shared" si="2"/>
        <v/>
      </c>
      <c r="Q4" s="13" t="str">
        <f t="shared" si="3"/>
        <v/>
      </c>
      <c r="R4" s="14"/>
      <c r="S4" s="14"/>
      <c r="T4" s="15"/>
      <c r="U4" s="14"/>
      <c r="V4" s="14"/>
      <c r="W4" s="14"/>
      <c r="X4" s="14"/>
      <c r="Y4" s="14"/>
      <c r="Z4" s="15"/>
    </row>
    <row r="5">
      <c r="A5" s="13" t="str">
        <f t="shared" si="1"/>
        <v/>
      </c>
      <c r="B5" s="15"/>
      <c r="C5" s="15"/>
      <c r="D5" s="15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3" t="str">
        <f t="shared" si="2"/>
        <v/>
      </c>
      <c r="Q5" s="13" t="str">
        <f t="shared" si="3"/>
        <v/>
      </c>
      <c r="R5" s="14"/>
      <c r="S5" s="14"/>
      <c r="T5" s="15"/>
      <c r="U5" s="14"/>
      <c r="V5" s="14"/>
      <c r="W5" s="14"/>
      <c r="X5" s="14"/>
      <c r="Y5" s="14"/>
      <c r="Z5" s="15"/>
    </row>
    <row r="6">
      <c r="A6" s="13" t="str">
        <f t="shared" si="1"/>
        <v/>
      </c>
      <c r="B6" s="15"/>
      <c r="C6" s="15"/>
      <c r="D6" s="15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3" t="str">
        <f t="shared" si="2"/>
        <v/>
      </c>
      <c r="Q6" s="13" t="str">
        <f t="shared" si="3"/>
        <v/>
      </c>
      <c r="R6" s="14"/>
      <c r="S6" s="14"/>
      <c r="T6" s="15"/>
      <c r="U6" s="14"/>
      <c r="V6" s="14"/>
      <c r="W6" s="14"/>
      <c r="X6" s="14"/>
      <c r="Y6" s="14"/>
      <c r="Z6" s="15"/>
    </row>
    <row r="7">
      <c r="A7" s="13" t="str">
        <f t="shared" si="1"/>
        <v/>
      </c>
      <c r="B7" s="15"/>
      <c r="C7" s="15"/>
      <c r="D7" s="15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3" t="str">
        <f t="shared" si="2"/>
        <v/>
      </c>
      <c r="Q7" s="13" t="str">
        <f t="shared" si="3"/>
        <v/>
      </c>
      <c r="R7" s="14"/>
      <c r="S7" s="14"/>
      <c r="T7" s="15"/>
      <c r="U7" s="14"/>
      <c r="V7" s="14"/>
      <c r="W7" s="14"/>
      <c r="X7" s="14"/>
      <c r="Y7" s="14"/>
      <c r="Z7" s="15"/>
    </row>
    <row r="8">
      <c r="A8" s="13" t="str">
        <f t="shared" si="1"/>
        <v/>
      </c>
      <c r="B8" s="15"/>
      <c r="C8" s="15"/>
      <c r="D8" s="15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3" t="str">
        <f t="shared" si="2"/>
        <v/>
      </c>
      <c r="Q8" s="13" t="str">
        <f t="shared" si="3"/>
        <v/>
      </c>
      <c r="R8" s="14"/>
      <c r="S8" s="14"/>
      <c r="T8" s="15"/>
      <c r="U8" s="14"/>
      <c r="V8" s="14"/>
      <c r="W8" s="14"/>
      <c r="X8" s="14"/>
      <c r="Y8" s="14"/>
      <c r="Z8" s="15"/>
    </row>
    <row r="9">
      <c r="A9" s="13" t="str">
        <f t="shared" si="1"/>
        <v/>
      </c>
      <c r="B9" s="15"/>
      <c r="C9" s="15"/>
      <c r="D9" s="15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3" t="str">
        <f t="shared" si="2"/>
        <v/>
      </c>
      <c r="Q9" s="13" t="str">
        <f t="shared" si="3"/>
        <v/>
      </c>
      <c r="R9" s="14"/>
      <c r="S9" s="14"/>
      <c r="T9" s="15"/>
      <c r="U9" s="14"/>
      <c r="V9" s="14"/>
      <c r="W9" s="14"/>
      <c r="X9" s="14"/>
      <c r="Y9" s="14"/>
      <c r="Z9" s="15"/>
    </row>
    <row r="10">
      <c r="A10" s="13" t="str">
        <f t="shared" si="1"/>
        <v/>
      </c>
      <c r="B10" s="15"/>
      <c r="C10" s="15"/>
      <c r="D10" s="15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3" t="str">
        <f t="shared" si="2"/>
        <v/>
      </c>
      <c r="Q10" s="13" t="str">
        <f t="shared" si="3"/>
        <v/>
      </c>
      <c r="R10" s="14"/>
      <c r="S10" s="14"/>
      <c r="T10" s="15"/>
      <c r="U10" s="14"/>
      <c r="V10" s="14"/>
      <c r="W10" s="14"/>
      <c r="X10" s="14"/>
      <c r="Y10" s="14"/>
      <c r="Z10" s="15"/>
    </row>
    <row r="11">
      <c r="A11" s="13" t="str">
        <f t="shared" si="1"/>
        <v/>
      </c>
      <c r="B11" s="15"/>
      <c r="C11" s="15"/>
      <c r="D11" s="15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3" t="str">
        <f t="shared" si="2"/>
        <v/>
      </c>
      <c r="Q11" s="13" t="str">
        <f t="shared" si="3"/>
        <v/>
      </c>
      <c r="R11" s="14"/>
      <c r="S11" s="14"/>
      <c r="T11" s="15"/>
      <c r="U11" s="14"/>
      <c r="V11" s="14"/>
      <c r="W11" s="14"/>
      <c r="X11" s="14"/>
      <c r="Y11" s="14"/>
      <c r="Z11" s="15"/>
    </row>
    <row r="12">
      <c r="A12" s="13" t="str">
        <f t="shared" si="1"/>
        <v/>
      </c>
      <c r="B12" s="15"/>
      <c r="C12" s="15"/>
      <c r="D12" s="15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3" t="str">
        <f t="shared" si="2"/>
        <v/>
      </c>
      <c r="Q12" s="13" t="str">
        <f t="shared" si="3"/>
        <v/>
      </c>
      <c r="R12" s="14"/>
      <c r="S12" s="14"/>
      <c r="T12" s="15"/>
      <c r="U12" s="14"/>
      <c r="V12" s="14"/>
      <c r="W12" s="14"/>
      <c r="X12" s="14"/>
      <c r="Y12" s="14"/>
      <c r="Z12" s="15"/>
    </row>
    <row r="13">
      <c r="A13" s="13" t="str">
        <f t="shared" si="1"/>
        <v/>
      </c>
      <c r="B13" s="15"/>
      <c r="C13" s="15"/>
      <c r="D13" s="15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3" t="str">
        <f t="shared" si="2"/>
        <v/>
      </c>
      <c r="Q13" s="13" t="str">
        <f t="shared" si="3"/>
        <v/>
      </c>
      <c r="R13" s="14"/>
      <c r="S13" s="14"/>
      <c r="T13" s="15"/>
      <c r="U13" s="14"/>
      <c r="V13" s="14"/>
      <c r="W13" s="14"/>
      <c r="X13" s="14"/>
      <c r="Y13" s="14"/>
      <c r="Z13" s="15"/>
    </row>
    <row r="14">
      <c r="A14" s="13" t="str">
        <f t="shared" si="1"/>
        <v/>
      </c>
      <c r="B14" s="15"/>
      <c r="C14" s="15"/>
      <c r="D14" s="15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3" t="str">
        <f t="shared" si="2"/>
        <v/>
      </c>
      <c r="Q14" s="13" t="str">
        <f t="shared" si="3"/>
        <v/>
      </c>
      <c r="R14" s="14"/>
      <c r="S14" s="14"/>
      <c r="T14" s="15"/>
      <c r="U14" s="14"/>
      <c r="V14" s="14"/>
      <c r="W14" s="14"/>
      <c r="X14" s="14"/>
      <c r="Y14" s="14"/>
      <c r="Z14" s="15"/>
    </row>
    <row r="15">
      <c r="A15" s="13" t="str">
        <f t="shared" si="1"/>
        <v/>
      </c>
      <c r="B15" s="15"/>
      <c r="C15" s="15"/>
      <c r="D15" s="15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3" t="str">
        <f t="shared" si="2"/>
        <v/>
      </c>
      <c r="Q15" s="13" t="str">
        <f t="shared" si="3"/>
        <v/>
      </c>
      <c r="R15" s="14"/>
      <c r="S15" s="14"/>
      <c r="T15" s="15"/>
      <c r="U15" s="14"/>
      <c r="V15" s="14"/>
      <c r="W15" s="14"/>
      <c r="X15" s="14"/>
      <c r="Y15" s="14"/>
      <c r="Z15" s="15"/>
    </row>
    <row r="16">
      <c r="A16" s="13" t="str">
        <f t="shared" si="1"/>
        <v/>
      </c>
      <c r="B16" s="15"/>
      <c r="C16" s="15"/>
      <c r="D16" s="15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3" t="str">
        <f t="shared" si="2"/>
        <v/>
      </c>
      <c r="Q16" s="13" t="str">
        <f t="shared" si="3"/>
        <v/>
      </c>
      <c r="R16" s="14"/>
      <c r="S16" s="14"/>
      <c r="T16" s="15"/>
      <c r="U16" s="14"/>
      <c r="V16" s="14"/>
      <c r="W16" s="14"/>
      <c r="X16" s="14"/>
      <c r="Y16" s="14"/>
      <c r="Z16" s="15"/>
    </row>
    <row r="17">
      <c r="A17" s="13" t="str">
        <f t="shared" si="1"/>
        <v/>
      </c>
      <c r="B17" s="15"/>
      <c r="C17" s="15"/>
      <c r="D17" s="15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3" t="str">
        <f t="shared" si="2"/>
        <v/>
      </c>
      <c r="Q17" s="13" t="str">
        <f t="shared" si="3"/>
        <v/>
      </c>
      <c r="R17" s="14"/>
      <c r="S17" s="14"/>
      <c r="T17" s="15"/>
      <c r="U17" s="14"/>
      <c r="V17" s="14"/>
      <c r="W17" s="14"/>
      <c r="X17" s="14"/>
      <c r="Y17" s="14"/>
      <c r="Z17" s="15"/>
    </row>
    <row r="18">
      <c r="A18" s="13" t="str">
        <f t="shared" si="1"/>
        <v/>
      </c>
      <c r="B18" s="15"/>
      <c r="C18" s="15"/>
      <c r="D18" s="15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3" t="str">
        <f t="shared" si="2"/>
        <v/>
      </c>
      <c r="Q18" s="13" t="str">
        <f t="shared" si="3"/>
        <v/>
      </c>
      <c r="R18" s="14"/>
      <c r="S18" s="14"/>
      <c r="T18" s="15"/>
      <c r="U18" s="14"/>
      <c r="V18" s="14"/>
      <c r="W18" s="14"/>
      <c r="X18" s="14"/>
      <c r="Y18" s="14"/>
      <c r="Z18" s="15"/>
    </row>
    <row r="19">
      <c r="A19" s="13" t="str">
        <f t="shared" si="1"/>
        <v/>
      </c>
      <c r="B19" s="15"/>
      <c r="C19" s="15"/>
      <c r="D19" s="15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3" t="str">
        <f t="shared" si="2"/>
        <v/>
      </c>
      <c r="Q19" s="13" t="str">
        <f t="shared" si="3"/>
        <v/>
      </c>
      <c r="R19" s="14"/>
      <c r="S19" s="14"/>
      <c r="T19" s="15"/>
      <c r="U19" s="14"/>
      <c r="V19" s="14"/>
      <c r="W19" s="14"/>
      <c r="X19" s="14"/>
      <c r="Y19" s="14"/>
      <c r="Z19" s="15"/>
    </row>
    <row r="20">
      <c r="A20" s="13" t="str">
        <f t="shared" si="1"/>
        <v/>
      </c>
      <c r="B20" s="15"/>
      <c r="C20" s="15"/>
      <c r="D20" s="15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3" t="str">
        <f t="shared" si="2"/>
        <v/>
      </c>
      <c r="Q20" s="13" t="str">
        <f t="shared" si="3"/>
        <v/>
      </c>
      <c r="R20" s="14"/>
      <c r="S20" s="14"/>
      <c r="T20" s="15"/>
      <c r="U20" s="14"/>
      <c r="V20" s="14"/>
      <c r="W20" s="14"/>
      <c r="X20" s="14"/>
      <c r="Y20" s="14"/>
      <c r="Z20" s="15"/>
    </row>
    <row r="21" ht="15.75" customHeight="1">
      <c r="A21" s="13" t="str">
        <f t="shared" si="1"/>
        <v/>
      </c>
      <c r="B21" s="15"/>
      <c r="C21" s="15"/>
      <c r="D21" s="15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3" t="str">
        <f t="shared" si="2"/>
        <v/>
      </c>
      <c r="Q21" s="13" t="str">
        <f t="shared" si="3"/>
        <v/>
      </c>
      <c r="R21" s="14"/>
      <c r="S21" s="14"/>
      <c r="T21" s="15"/>
      <c r="U21" s="14"/>
      <c r="V21" s="14"/>
      <c r="W21" s="14"/>
      <c r="X21" s="14"/>
      <c r="Y21" s="14"/>
      <c r="Z21" s="15"/>
    </row>
    <row r="22" ht="15.75" customHeight="1">
      <c r="A22" s="13" t="str">
        <f t="shared" si="1"/>
        <v/>
      </c>
      <c r="B22" s="15"/>
      <c r="C22" s="15"/>
      <c r="D22" s="15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3" t="str">
        <f t="shared" si="2"/>
        <v/>
      </c>
      <c r="Q22" s="13" t="str">
        <f t="shared" si="3"/>
        <v/>
      </c>
      <c r="R22" s="14"/>
      <c r="S22" s="14"/>
      <c r="T22" s="15"/>
      <c r="U22" s="14"/>
      <c r="V22" s="14"/>
      <c r="W22" s="14"/>
      <c r="X22" s="14"/>
      <c r="Y22" s="14"/>
      <c r="Z22" s="15"/>
    </row>
    <row r="23" ht="15.75" customHeight="1">
      <c r="A23" s="13" t="str">
        <f t="shared" si="1"/>
        <v/>
      </c>
      <c r="B23" s="15"/>
      <c r="C23" s="15"/>
      <c r="D23" s="15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3" t="str">
        <f t="shared" si="2"/>
        <v/>
      </c>
      <c r="Q23" s="13" t="str">
        <f t="shared" si="3"/>
        <v/>
      </c>
      <c r="R23" s="14"/>
      <c r="S23" s="14"/>
      <c r="T23" s="15"/>
      <c r="U23" s="14"/>
      <c r="V23" s="14"/>
      <c r="W23" s="14"/>
      <c r="X23" s="14"/>
      <c r="Y23" s="14"/>
      <c r="Z23" s="15"/>
    </row>
    <row r="24" ht="15.75" customHeight="1">
      <c r="A24" s="13" t="str">
        <f t="shared" si="1"/>
        <v/>
      </c>
      <c r="B24" s="15"/>
      <c r="C24" s="15"/>
      <c r="D24" s="15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3" t="str">
        <f t="shared" si="2"/>
        <v/>
      </c>
      <c r="Q24" s="13" t="str">
        <f t="shared" si="3"/>
        <v/>
      </c>
      <c r="R24" s="14"/>
      <c r="S24" s="14"/>
      <c r="T24" s="15"/>
      <c r="U24" s="14"/>
      <c r="V24" s="14"/>
      <c r="W24" s="14"/>
      <c r="X24" s="14"/>
      <c r="Y24" s="14"/>
      <c r="Z24" s="15"/>
    </row>
    <row r="25" ht="15.75" customHeight="1">
      <c r="A25" s="13" t="str">
        <f t="shared" si="1"/>
        <v/>
      </c>
      <c r="B25" s="15"/>
      <c r="C25" s="15"/>
      <c r="D25" s="15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3" t="str">
        <f t="shared" si="2"/>
        <v/>
      </c>
      <c r="Q25" s="13" t="str">
        <f t="shared" si="3"/>
        <v/>
      </c>
      <c r="R25" s="14"/>
      <c r="S25" s="14"/>
      <c r="T25" s="15"/>
      <c r="U25" s="14"/>
      <c r="V25" s="14"/>
      <c r="W25" s="14"/>
      <c r="X25" s="14"/>
      <c r="Y25" s="14"/>
      <c r="Z25" s="15"/>
    </row>
    <row r="26" ht="15.75" customHeight="1">
      <c r="A26" s="13" t="str">
        <f t="shared" si="1"/>
        <v/>
      </c>
      <c r="B26" s="15"/>
      <c r="C26" s="15"/>
      <c r="D26" s="15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3" t="str">
        <f t="shared" si="2"/>
        <v/>
      </c>
      <c r="Q26" s="13" t="str">
        <f t="shared" si="3"/>
        <v/>
      </c>
      <c r="R26" s="14"/>
      <c r="S26" s="14"/>
      <c r="T26" s="15"/>
      <c r="U26" s="14"/>
      <c r="V26" s="14"/>
      <c r="W26" s="14"/>
      <c r="X26" s="14"/>
      <c r="Y26" s="14"/>
      <c r="Z26" s="15"/>
    </row>
    <row r="27" ht="15.75" customHeight="1">
      <c r="A27" s="13" t="str">
        <f t="shared" si="1"/>
        <v/>
      </c>
      <c r="B27" s="15"/>
      <c r="C27" s="15"/>
      <c r="D27" s="15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3" t="str">
        <f t="shared" si="2"/>
        <v/>
      </c>
      <c r="Q27" s="13" t="str">
        <f t="shared" si="3"/>
        <v/>
      </c>
      <c r="R27" s="14"/>
      <c r="S27" s="14"/>
      <c r="T27" s="15"/>
      <c r="U27" s="14"/>
      <c r="V27" s="14"/>
      <c r="W27" s="14"/>
      <c r="X27" s="14"/>
      <c r="Y27" s="14"/>
      <c r="Z27" s="15"/>
    </row>
    <row r="28" ht="15.75" customHeight="1">
      <c r="A28" s="13" t="str">
        <f t="shared" si="1"/>
        <v/>
      </c>
      <c r="B28" s="15"/>
      <c r="C28" s="15"/>
      <c r="D28" s="15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3" t="str">
        <f t="shared" si="2"/>
        <v/>
      </c>
      <c r="Q28" s="13" t="str">
        <f t="shared" si="3"/>
        <v/>
      </c>
      <c r="R28" s="14"/>
      <c r="S28" s="14"/>
      <c r="T28" s="15"/>
      <c r="U28" s="14"/>
      <c r="V28" s="14"/>
      <c r="W28" s="14"/>
      <c r="X28" s="14"/>
      <c r="Y28" s="14"/>
      <c r="Z28" s="15"/>
    </row>
    <row r="29" ht="15.75" customHeight="1">
      <c r="A29" s="13" t="str">
        <f t="shared" si="1"/>
        <v/>
      </c>
      <c r="B29" s="15"/>
      <c r="C29" s="15"/>
      <c r="D29" s="15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3" t="str">
        <f t="shared" si="2"/>
        <v/>
      </c>
      <c r="Q29" s="13" t="str">
        <f t="shared" si="3"/>
        <v/>
      </c>
      <c r="R29" s="14"/>
      <c r="S29" s="14"/>
      <c r="T29" s="15"/>
      <c r="U29" s="14"/>
      <c r="V29" s="14"/>
      <c r="W29" s="14"/>
      <c r="X29" s="14"/>
      <c r="Y29" s="14"/>
      <c r="Z29" s="15"/>
    </row>
    <row r="30" ht="15.75" customHeight="1">
      <c r="A30" s="13" t="str">
        <f t="shared" si="1"/>
        <v/>
      </c>
      <c r="B30" s="15"/>
      <c r="C30" s="15"/>
      <c r="D30" s="15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3" t="str">
        <f t="shared" si="2"/>
        <v/>
      </c>
      <c r="Q30" s="13" t="str">
        <f t="shared" si="3"/>
        <v/>
      </c>
      <c r="R30" s="14"/>
      <c r="S30" s="14"/>
      <c r="T30" s="15"/>
      <c r="U30" s="14"/>
      <c r="V30" s="14"/>
      <c r="W30" s="14"/>
      <c r="X30" s="14"/>
      <c r="Y30" s="14"/>
      <c r="Z30" s="15"/>
    </row>
    <row r="31" ht="15.75" customHeight="1">
      <c r="A31" s="13" t="str">
        <f t="shared" si="1"/>
        <v/>
      </c>
      <c r="B31" s="15"/>
      <c r="C31" s="15"/>
      <c r="D31" s="15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3" t="str">
        <f t="shared" si="2"/>
        <v/>
      </c>
      <c r="Q31" s="13" t="str">
        <f t="shared" si="3"/>
        <v/>
      </c>
      <c r="R31" s="14"/>
      <c r="S31" s="14"/>
      <c r="T31" s="15"/>
      <c r="U31" s="14"/>
      <c r="V31" s="14"/>
      <c r="W31" s="14"/>
      <c r="X31" s="14"/>
      <c r="Y31" s="14"/>
      <c r="Z31" s="15"/>
    </row>
    <row r="32" ht="15.75" customHeight="1">
      <c r="A32" s="13" t="str">
        <f t="shared" si="1"/>
        <v/>
      </c>
      <c r="B32" s="15"/>
      <c r="C32" s="15"/>
      <c r="D32" s="15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3" t="str">
        <f t="shared" si="2"/>
        <v/>
      </c>
      <c r="Q32" s="13" t="str">
        <f t="shared" si="3"/>
        <v/>
      </c>
      <c r="R32" s="14"/>
      <c r="S32" s="14"/>
      <c r="T32" s="15"/>
      <c r="U32" s="14"/>
      <c r="V32" s="14"/>
      <c r="W32" s="14"/>
      <c r="X32" s="14"/>
      <c r="Y32" s="14"/>
      <c r="Z32" s="15"/>
    </row>
    <row r="33" ht="15.75" customHeight="1">
      <c r="A33" s="13" t="str">
        <f t="shared" si="1"/>
        <v/>
      </c>
      <c r="B33" s="15"/>
      <c r="C33" s="15"/>
      <c r="D33" s="15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3" t="str">
        <f t="shared" si="2"/>
        <v/>
      </c>
      <c r="Q33" s="13" t="str">
        <f t="shared" si="3"/>
        <v/>
      </c>
      <c r="R33" s="14"/>
      <c r="S33" s="14"/>
      <c r="T33" s="15"/>
      <c r="U33" s="14"/>
      <c r="V33" s="14"/>
      <c r="W33" s="14"/>
      <c r="X33" s="14"/>
      <c r="Y33" s="14"/>
      <c r="Z33" s="15"/>
    </row>
    <row r="34" ht="15.75" customHeight="1">
      <c r="A34" s="13" t="str">
        <f t="shared" si="1"/>
        <v/>
      </c>
      <c r="B34" s="15"/>
      <c r="C34" s="15"/>
      <c r="D34" s="15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3" t="str">
        <f t="shared" si="2"/>
        <v/>
      </c>
      <c r="Q34" s="13" t="str">
        <f t="shared" si="3"/>
        <v/>
      </c>
      <c r="R34" s="14"/>
      <c r="S34" s="14"/>
      <c r="T34" s="15"/>
      <c r="U34" s="14"/>
      <c r="V34" s="14"/>
      <c r="W34" s="14"/>
      <c r="X34" s="14"/>
      <c r="Y34" s="14"/>
      <c r="Z34" s="15"/>
    </row>
    <row r="35" ht="15.75" customHeight="1">
      <c r="A35" s="13" t="str">
        <f t="shared" si="1"/>
        <v/>
      </c>
      <c r="B35" s="15"/>
      <c r="C35" s="15"/>
      <c r="D35" s="15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3" t="str">
        <f t="shared" si="2"/>
        <v/>
      </c>
      <c r="Q35" s="13" t="str">
        <f t="shared" si="3"/>
        <v/>
      </c>
      <c r="R35" s="14"/>
      <c r="S35" s="14"/>
      <c r="T35" s="15"/>
      <c r="U35" s="14"/>
      <c r="V35" s="14"/>
      <c r="W35" s="14"/>
      <c r="X35" s="14"/>
      <c r="Y35" s="14"/>
      <c r="Z35" s="15"/>
    </row>
    <row r="36" ht="15.75" customHeight="1">
      <c r="A36" s="13" t="str">
        <f t="shared" si="1"/>
        <v/>
      </c>
      <c r="B36" s="15"/>
      <c r="C36" s="15"/>
      <c r="D36" s="15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3" t="str">
        <f t="shared" si="2"/>
        <v/>
      </c>
      <c r="Q36" s="13" t="str">
        <f t="shared" si="3"/>
        <v/>
      </c>
      <c r="R36" s="14"/>
      <c r="S36" s="14"/>
      <c r="T36" s="15"/>
      <c r="U36" s="14"/>
      <c r="V36" s="14"/>
      <c r="W36" s="14"/>
      <c r="X36" s="14"/>
      <c r="Y36" s="14"/>
      <c r="Z36" s="15"/>
    </row>
    <row r="37" ht="15.75" customHeight="1">
      <c r="A37" s="13" t="str">
        <f t="shared" si="1"/>
        <v/>
      </c>
      <c r="B37" s="15"/>
      <c r="C37" s="15"/>
      <c r="D37" s="15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3" t="str">
        <f t="shared" si="2"/>
        <v/>
      </c>
      <c r="Q37" s="13" t="str">
        <f t="shared" si="3"/>
        <v/>
      </c>
      <c r="R37" s="14"/>
      <c r="S37" s="14"/>
      <c r="T37" s="15"/>
      <c r="U37" s="14"/>
      <c r="V37" s="14"/>
      <c r="W37" s="14"/>
      <c r="X37" s="14"/>
      <c r="Y37" s="14"/>
      <c r="Z37" s="15"/>
    </row>
    <row r="38" ht="15.75" customHeight="1">
      <c r="A38" s="13" t="str">
        <f t="shared" si="1"/>
        <v/>
      </c>
      <c r="B38" s="15"/>
      <c r="C38" s="15"/>
      <c r="D38" s="15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3" t="str">
        <f t="shared" si="2"/>
        <v/>
      </c>
      <c r="Q38" s="13" t="str">
        <f t="shared" si="3"/>
        <v/>
      </c>
      <c r="R38" s="14"/>
      <c r="S38" s="14"/>
      <c r="T38" s="15"/>
      <c r="U38" s="14"/>
      <c r="V38" s="14"/>
      <c r="W38" s="14"/>
      <c r="X38" s="14"/>
      <c r="Y38" s="14"/>
      <c r="Z38" s="15"/>
    </row>
    <row r="39" ht="15.75" customHeight="1">
      <c r="A39" s="13" t="str">
        <f t="shared" si="1"/>
        <v/>
      </c>
      <c r="B39" s="15"/>
      <c r="C39" s="15"/>
      <c r="D39" s="15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3" t="str">
        <f t="shared" si="2"/>
        <v/>
      </c>
      <c r="Q39" s="13" t="str">
        <f t="shared" si="3"/>
        <v/>
      </c>
      <c r="R39" s="14"/>
      <c r="S39" s="14"/>
      <c r="T39" s="15"/>
      <c r="U39" s="14"/>
      <c r="V39" s="14"/>
      <c r="W39" s="14"/>
      <c r="X39" s="14"/>
      <c r="Y39" s="14"/>
      <c r="Z39" s="15"/>
    </row>
    <row r="40" ht="15.75" customHeight="1">
      <c r="A40" s="13" t="str">
        <f t="shared" si="1"/>
        <v/>
      </c>
      <c r="B40" s="15"/>
      <c r="C40" s="15"/>
      <c r="D40" s="15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3" t="str">
        <f t="shared" si="2"/>
        <v/>
      </c>
      <c r="Q40" s="13" t="str">
        <f t="shared" si="3"/>
        <v/>
      </c>
      <c r="R40" s="14"/>
      <c r="S40" s="14"/>
      <c r="T40" s="15"/>
      <c r="U40" s="14"/>
      <c r="V40" s="14"/>
      <c r="W40" s="14"/>
      <c r="X40" s="14"/>
      <c r="Y40" s="14"/>
      <c r="Z40" s="15"/>
    </row>
    <row r="41" ht="15.75" customHeight="1">
      <c r="A41" s="13" t="str">
        <f t="shared" si="1"/>
        <v/>
      </c>
      <c r="B41" s="15"/>
      <c r="C41" s="15"/>
      <c r="D41" s="15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3" t="str">
        <f t="shared" si="2"/>
        <v/>
      </c>
      <c r="Q41" s="13" t="str">
        <f t="shared" si="3"/>
        <v/>
      </c>
      <c r="R41" s="14"/>
      <c r="S41" s="14"/>
      <c r="T41" s="15"/>
      <c r="U41" s="14"/>
      <c r="V41" s="14"/>
      <c r="W41" s="14"/>
      <c r="X41" s="14"/>
      <c r="Y41" s="14"/>
      <c r="Z41" s="15"/>
    </row>
    <row r="42" ht="15.75" customHeight="1">
      <c r="A42" s="13" t="str">
        <f t="shared" si="1"/>
        <v/>
      </c>
      <c r="B42" s="15"/>
      <c r="C42" s="15"/>
      <c r="D42" s="15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3" t="str">
        <f t="shared" si="2"/>
        <v/>
      </c>
      <c r="Q42" s="13" t="str">
        <f t="shared" si="3"/>
        <v/>
      </c>
      <c r="R42" s="14"/>
      <c r="S42" s="14"/>
      <c r="T42" s="15"/>
      <c r="U42" s="14"/>
      <c r="V42" s="14"/>
      <c r="W42" s="14"/>
      <c r="X42" s="14"/>
      <c r="Y42" s="14"/>
      <c r="Z42" s="15"/>
    </row>
    <row r="43" ht="15.75" customHeight="1">
      <c r="A43" s="13" t="str">
        <f t="shared" si="1"/>
        <v/>
      </c>
      <c r="B43" s="15"/>
      <c r="C43" s="15"/>
      <c r="D43" s="15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3" t="str">
        <f t="shared" si="2"/>
        <v/>
      </c>
      <c r="Q43" s="13" t="str">
        <f t="shared" si="3"/>
        <v/>
      </c>
      <c r="R43" s="14"/>
      <c r="S43" s="14"/>
      <c r="T43" s="15"/>
      <c r="U43" s="14"/>
      <c r="V43" s="14"/>
      <c r="W43" s="14"/>
      <c r="X43" s="14"/>
      <c r="Y43" s="14"/>
      <c r="Z43" s="15"/>
    </row>
    <row r="44" ht="15.75" customHeight="1">
      <c r="A44" s="13" t="str">
        <f t="shared" si="1"/>
        <v/>
      </c>
      <c r="B44" s="15"/>
      <c r="C44" s="15"/>
      <c r="D44" s="15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3" t="str">
        <f t="shared" si="2"/>
        <v/>
      </c>
      <c r="Q44" s="13" t="str">
        <f t="shared" si="3"/>
        <v/>
      </c>
      <c r="R44" s="14"/>
      <c r="S44" s="14"/>
      <c r="T44" s="15"/>
      <c r="U44" s="14"/>
      <c r="V44" s="14"/>
      <c r="W44" s="14"/>
      <c r="X44" s="14"/>
      <c r="Y44" s="14"/>
      <c r="Z44" s="15"/>
    </row>
    <row r="45" ht="15.75" customHeight="1">
      <c r="A45" s="13" t="str">
        <f t="shared" si="1"/>
        <v/>
      </c>
      <c r="B45" s="15"/>
      <c r="C45" s="15"/>
      <c r="D45" s="15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3" t="str">
        <f t="shared" si="2"/>
        <v/>
      </c>
      <c r="Q45" s="13" t="str">
        <f t="shared" si="3"/>
        <v/>
      </c>
      <c r="R45" s="14"/>
      <c r="S45" s="14"/>
      <c r="T45" s="15"/>
      <c r="U45" s="14"/>
      <c r="V45" s="14"/>
      <c r="W45" s="14"/>
      <c r="X45" s="14"/>
      <c r="Y45" s="14"/>
      <c r="Z45" s="15"/>
    </row>
    <row r="46" ht="15.75" customHeight="1">
      <c r="A46" s="13" t="str">
        <f t="shared" si="1"/>
        <v/>
      </c>
      <c r="B46" s="15"/>
      <c r="C46" s="15"/>
      <c r="D46" s="15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3" t="str">
        <f t="shared" si="2"/>
        <v/>
      </c>
      <c r="Q46" s="13" t="str">
        <f t="shared" si="3"/>
        <v/>
      </c>
      <c r="R46" s="14"/>
      <c r="S46" s="14"/>
      <c r="T46" s="15"/>
      <c r="U46" s="14"/>
      <c r="V46" s="14"/>
      <c r="W46" s="14"/>
      <c r="X46" s="14"/>
      <c r="Y46" s="14"/>
      <c r="Z46" s="15"/>
    </row>
    <row r="47" ht="15.75" customHeight="1">
      <c r="A47" s="13" t="str">
        <f t="shared" si="1"/>
        <v/>
      </c>
      <c r="B47" s="15"/>
      <c r="C47" s="15"/>
      <c r="D47" s="15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3" t="str">
        <f t="shared" si="2"/>
        <v/>
      </c>
      <c r="Q47" s="13" t="str">
        <f t="shared" si="3"/>
        <v/>
      </c>
      <c r="R47" s="14"/>
      <c r="S47" s="14"/>
      <c r="T47" s="15"/>
      <c r="U47" s="14"/>
      <c r="V47" s="14"/>
      <c r="W47" s="14"/>
      <c r="X47" s="14"/>
      <c r="Y47" s="14"/>
      <c r="Z47" s="15"/>
    </row>
    <row r="48" ht="15.75" customHeight="1">
      <c r="A48" s="13" t="str">
        <f t="shared" si="1"/>
        <v/>
      </c>
      <c r="B48" s="15"/>
      <c r="C48" s="15"/>
      <c r="D48" s="15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3" t="str">
        <f t="shared" si="2"/>
        <v/>
      </c>
      <c r="Q48" s="13" t="str">
        <f t="shared" si="3"/>
        <v/>
      </c>
      <c r="R48" s="14"/>
      <c r="S48" s="14"/>
      <c r="T48" s="15"/>
      <c r="U48" s="14"/>
      <c r="V48" s="14"/>
      <c r="W48" s="14"/>
      <c r="X48" s="14"/>
      <c r="Y48" s="14"/>
      <c r="Z48" s="15"/>
    </row>
    <row r="49" ht="15.75" customHeight="1">
      <c r="A49" s="13" t="str">
        <f t="shared" si="1"/>
        <v/>
      </c>
      <c r="B49" s="15"/>
      <c r="C49" s="15"/>
      <c r="D49" s="15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3" t="str">
        <f t="shared" si="2"/>
        <v/>
      </c>
      <c r="Q49" s="13" t="str">
        <f t="shared" si="3"/>
        <v/>
      </c>
      <c r="R49" s="14"/>
      <c r="S49" s="14"/>
      <c r="T49" s="15"/>
      <c r="U49" s="14"/>
      <c r="V49" s="14"/>
      <c r="W49" s="14"/>
      <c r="X49" s="14"/>
      <c r="Y49" s="14"/>
      <c r="Z49" s="15"/>
    </row>
    <row r="50" ht="15.75" customHeight="1">
      <c r="A50" s="13" t="str">
        <f t="shared" si="1"/>
        <v/>
      </c>
      <c r="B50" s="15"/>
      <c r="C50" s="15"/>
      <c r="D50" s="15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3" t="str">
        <f t="shared" si="2"/>
        <v/>
      </c>
      <c r="Q50" s="13" t="str">
        <f t="shared" si="3"/>
        <v/>
      </c>
      <c r="R50" s="14"/>
      <c r="S50" s="14"/>
      <c r="T50" s="15"/>
      <c r="U50" s="14"/>
      <c r="V50" s="14"/>
      <c r="W50" s="14"/>
      <c r="X50" s="14"/>
      <c r="Y50" s="14"/>
      <c r="Z50" s="15"/>
    </row>
    <row r="51" ht="15.75" customHeight="1">
      <c r="A51" s="13" t="str">
        <f t="shared" si="1"/>
        <v/>
      </c>
      <c r="B51" s="15"/>
      <c r="C51" s="15"/>
      <c r="D51" s="15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3" t="str">
        <f t="shared" si="2"/>
        <v/>
      </c>
      <c r="Q51" s="13" t="str">
        <f t="shared" si="3"/>
        <v/>
      </c>
      <c r="R51" s="14"/>
      <c r="S51" s="14"/>
      <c r="T51" s="15"/>
      <c r="U51" s="14"/>
      <c r="V51" s="14"/>
      <c r="W51" s="14"/>
      <c r="X51" s="14"/>
      <c r="Y51" s="14"/>
      <c r="Z51" s="15"/>
    </row>
    <row r="52" ht="15.75" customHeight="1">
      <c r="A52" s="13" t="str">
        <f t="shared" si="1"/>
        <v/>
      </c>
      <c r="B52" s="15"/>
      <c r="C52" s="15"/>
      <c r="D52" s="15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3" t="str">
        <f t="shared" si="2"/>
        <v/>
      </c>
      <c r="Q52" s="13" t="str">
        <f t="shared" si="3"/>
        <v/>
      </c>
      <c r="R52" s="14"/>
      <c r="S52" s="14"/>
      <c r="T52" s="15"/>
      <c r="U52" s="14"/>
      <c r="V52" s="14"/>
      <c r="W52" s="14"/>
      <c r="X52" s="14"/>
      <c r="Y52" s="14"/>
      <c r="Z52" s="15"/>
    </row>
    <row r="53" ht="15.75" customHeight="1">
      <c r="A53" s="13" t="str">
        <f t="shared" si="1"/>
        <v/>
      </c>
      <c r="B53" s="15"/>
      <c r="C53" s="15"/>
      <c r="D53" s="15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3" t="str">
        <f t="shared" si="2"/>
        <v/>
      </c>
      <c r="Q53" s="13" t="str">
        <f t="shared" si="3"/>
        <v/>
      </c>
      <c r="R53" s="14"/>
      <c r="S53" s="14"/>
      <c r="T53" s="15"/>
      <c r="U53" s="14"/>
      <c r="V53" s="14"/>
      <c r="W53" s="14"/>
      <c r="X53" s="14"/>
      <c r="Y53" s="14"/>
      <c r="Z53" s="15"/>
    </row>
    <row r="54" ht="15.75" customHeight="1">
      <c r="A54" s="13" t="str">
        <f t="shared" si="1"/>
        <v/>
      </c>
      <c r="B54" s="15"/>
      <c r="C54" s="15"/>
      <c r="D54" s="15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3" t="str">
        <f t="shared" si="2"/>
        <v/>
      </c>
      <c r="Q54" s="13" t="str">
        <f t="shared" si="3"/>
        <v/>
      </c>
      <c r="R54" s="14"/>
      <c r="S54" s="14"/>
      <c r="T54" s="15"/>
      <c r="U54" s="14"/>
      <c r="V54" s="14"/>
      <c r="W54" s="14"/>
      <c r="X54" s="14"/>
      <c r="Y54" s="14"/>
      <c r="Z54" s="15"/>
    </row>
    <row r="55" ht="15.75" customHeight="1">
      <c r="A55" s="13" t="str">
        <f t="shared" si="1"/>
        <v/>
      </c>
      <c r="B55" s="15"/>
      <c r="C55" s="15"/>
      <c r="D55" s="15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3" t="str">
        <f t="shared" si="2"/>
        <v/>
      </c>
      <c r="Q55" s="13" t="str">
        <f t="shared" si="3"/>
        <v/>
      </c>
      <c r="R55" s="14"/>
      <c r="S55" s="14"/>
      <c r="T55" s="15"/>
      <c r="U55" s="14"/>
      <c r="V55" s="14"/>
      <c r="W55" s="14"/>
      <c r="X55" s="14"/>
      <c r="Y55" s="14"/>
      <c r="Z55" s="15"/>
    </row>
    <row r="56" ht="15.75" customHeight="1">
      <c r="A56" s="13" t="str">
        <f t="shared" si="1"/>
        <v/>
      </c>
      <c r="B56" s="15"/>
      <c r="C56" s="15"/>
      <c r="D56" s="15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3" t="str">
        <f t="shared" si="2"/>
        <v/>
      </c>
      <c r="Q56" s="13" t="str">
        <f t="shared" si="3"/>
        <v/>
      </c>
      <c r="R56" s="14"/>
      <c r="S56" s="14"/>
      <c r="T56" s="15"/>
      <c r="U56" s="14"/>
      <c r="V56" s="14"/>
      <c r="W56" s="14"/>
      <c r="X56" s="14"/>
      <c r="Y56" s="14"/>
      <c r="Z56" s="15"/>
    </row>
    <row r="57" ht="15.75" customHeight="1">
      <c r="A57" s="13" t="str">
        <f t="shared" si="1"/>
        <v/>
      </c>
      <c r="B57" s="15"/>
      <c r="C57" s="15"/>
      <c r="D57" s="15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3" t="str">
        <f t="shared" si="2"/>
        <v/>
      </c>
      <c r="Q57" s="13" t="str">
        <f t="shared" si="3"/>
        <v/>
      </c>
      <c r="R57" s="14"/>
      <c r="S57" s="14"/>
      <c r="T57" s="15"/>
      <c r="U57" s="14"/>
      <c r="V57" s="14"/>
      <c r="W57" s="14"/>
      <c r="X57" s="14"/>
      <c r="Y57" s="14"/>
      <c r="Z57" s="15"/>
    </row>
    <row r="58" ht="15.75" customHeight="1">
      <c r="A58" s="13" t="str">
        <f t="shared" si="1"/>
        <v/>
      </c>
      <c r="B58" s="15"/>
      <c r="C58" s="15"/>
      <c r="D58" s="15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3" t="str">
        <f t="shared" si="2"/>
        <v/>
      </c>
      <c r="Q58" s="13" t="str">
        <f t="shared" si="3"/>
        <v/>
      </c>
      <c r="R58" s="14"/>
      <c r="S58" s="14"/>
      <c r="T58" s="15"/>
      <c r="U58" s="14"/>
      <c r="V58" s="14"/>
      <c r="W58" s="14"/>
      <c r="X58" s="14"/>
      <c r="Y58" s="14"/>
      <c r="Z58" s="15"/>
    </row>
    <row r="59" ht="15.75" customHeight="1">
      <c r="A59" s="13" t="str">
        <f t="shared" si="1"/>
        <v/>
      </c>
      <c r="B59" s="15"/>
      <c r="C59" s="15"/>
      <c r="D59" s="15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3" t="str">
        <f t="shared" si="2"/>
        <v/>
      </c>
      <c r="Q59" s="13" t="str">
        <f t="shared" si="3"/>
        <v/>
      </c>
      <c r="R59" s="14"/>
      <c r="S59" s="14"/>
      <c r="T59" s="15"/>
      <c r="U59" s="14"/>
      <c r="V59" s="14"/>
      <c r="W59" s="14"/>
      <c r="X59" s="14"/>
      <c r="Y59" s="14"/>
      <c r="Z59" s="15"/>
    </row>
    <row r="60" ht="15.75" customHeight="1">
      <c r="A60" s="13" t="str">
        <f t="shared" si="1"/>
        <v/>
      </c>
      <c r="B60" s="15"/>
      <c r="C60" s="15"/>
      <c r="D60" s="15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3" t="str">
        <f t="shared" si="2"/>
        <v/>
      </c>
      <c r="Q60" s="13" t="str">
        <f t="shared" si="3"/>
        <v/>
      </c>
      <c r="R60" s="14"/>
      <c r="S60" s="14"/>
      <c r="T60" s="15"/>
      <c r="U60" s="14"/>
      <c r="V60" s="14"/>
      <c r="W60" s="14"/>
      <c r="X60" s="14"/>
      <c r="Y60" s="14"/>
      <c r="Z60" s="15"/>
    </row>
    <row r="61" ht="15.75" customHeight="1">
      <c r="A61" s="13" t="str">
        <f t="shared" si="1"/>
        <v/>
      </c>
      <c r="B61" s="15"/>
      <c r="C61" s="15"/>
      <c r="D61" s="15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3" t="str">
        <f t="shared" si="2"/>
        <v/>
      </c>
      <c r="Q61" s="13" t="str">
        <f t="shared" si="3"/>
        <v/>
      </c>
      <c r="R61" s="14"/>
      <c r="S61" s="14"/>
      <c r="T61" s="15"/>
      <c r="U61" s="14"/>
      <c r="V61" s="14"/>
      <c r="W61" s="14"/>
      <c r="X61" s="14"/>
      <c r="Y61" s="14"/>
      <c r="Z61" s="15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ID - Please choose a valid actor_id from People_Roster." sqref="T2:T61 Z2:Z61">
      <formula1>People_Roster!$A$2:$A$61</formula1>
    </dataValidation>
    <dataValidation type="list" allowBlank="1" showInputMessage="1" showErrorMessage="1" prompt="Invalid ID - Please choose a valid studio_id from Studio_Master." sqref="D2:D61">
      <formula1>Studio_Master!$A$2:$A$61</formula1>
    </dataValidation>
    <dataValidation type="list" allowBlank="1" showInputMessage="1" showErrorMessage="1" prompt="Invalid entry - Please choose a value from the dropdown list only." sqref="K2:K61 V2:V61">
      <formula1>Lists!$B$2:$B$3</formula1>
    </dataValidation>
    <dataValidation type="list" allowBlank="1" showInputMessage="1" showErrorMessage="1" prompt="Invalid ID - Please choose a valid theatre_id from Theatre_Master." sqref="C2:C61">
      <formula1>Theatre_Master!$A$2:$A$61</formula1>
    </dataValidation>
    <dataValidation type="list" allowBlank="1" showInputMessage="1" showErrorMessage="1" prompt="Invalid ID - Please choose a valid heartbeat_id from Hourly_Heartbeat." sqref="B2:B61">
      <formula1>Hourly_Heartbeat!$A$2:$A$61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31" width="22.0"/>
  </cols>
  <sheetData>
    <row r="1" ht="30.0" customHeight="1">
      <c r="A1" s="5" t="s">
        <v>392</v>
      </c>
      <c r="B1" s="5" t="s">
        <v>393</v>
      </c>
      <c r="C1" s="5" t="s">
        <v>208</v>
      </c>
      <c r="D1" s="5" t="s">
        <v>293</v>
      </c>
      <c r="E1" s="5" t="s">
        <v>294</v>
      </c>
      <c r="F1" s="5" t="s">
        <v>289</v>
      </c>
      <c r="G1" s="5" t="s">
        <v>290</v>
      </c>
      <c r="H1" s="5" t="s">
        <v>291</v>
      </c>
      <c r="I1" s="5" t="s">
        <v>292</v>
      </c>
      <c r="J1" s="5" t="s">
        <v>394</v>
      </c>
      <c r="K1" s="5" t="s">
        <v>395</v>
      </c>
      <c r="L1" s="5" t="s">
        <v>396</v>
      </c>
      <c r="M1" s="5" t="s">
        <v>397</v>
      </c>
      <c r="N1" s="5" t="s">
        <v>398</v>
      </c>
      <c r="O1" s="5" t="s">
        <v>399</v>
      </c>
      <c r="P1" s="5" t="s">
        <v>400</v>
      </c>
      <c r="Q1" s="5" t="s">
        <v>401</v>
      </c>
      <c r="R1" s="5" t="s">
        <v>402</v>
      </c>
      <c r="S1" s="5" t="s">
        <v>403</v>
      </c>
      <c r="T1" s="5" t="s">
        <v>404</v>
      </c>
      <c r="U1" s="5" t="s">
        <v>405</v>
      </c>
      <c r="V1" s="5" t="s">
        <v>406</v>
      </c>
      <c r="W1" s="5" t="s">
        <v>407</v>
      </c>
      <c r="X1" s="5" t="s">
        <v>408</v>
      </c>
      <c r="Y1" s="5" t="s">
        <v>409</v>
      </c>
      <c r="Z1" s="5" t="s">
        <v>410</v>
      </c>
      <c r="AA1" s="5" t="s">
        <v>318</v>
      </c>
      <c r="AB1" s="5" t="s">
        <v>319</v>
      </c>
      <c r="AC1" s="5" t="s">
        <v>262</v>
      </c>
      <c r="AD1" s="5" t="s">
        <v>156</v>
      </c>
      <c r="AE1" s="5" t="s">
        <v>81</v>
      </c>
    </row>
    <row r="2">
      <c r="A2" s="13" t="str">
        <f t="shared" ref="A2:A61" si="1">IF($B2="","","FIN-"&amp;TEXT(ROW()-1,"000"))</f>
        <v/>
      </c>
      <c r="B2" s="14"/>
      <c r="C2" s="15"/>
      <c r="D2" s="14"/>
      <c r="E2" s="14"/>
      <c r="F2" s="14"/>
      <c r="G2" s="14"/>
      <c r="H2" s="14"/>
      <c r="I2" s="14"/>
      <c r="J2" s="13" t="str">
        <f t="shared" ref="J2:J61" si="2">IF($B2="","",$D2+$F2+$H2)</f>
        <v/>
      </c>
      <c r="K2" s="13" t="str">
        <f t="shared" ref="K2:K61" si="3">IF($B2="","",$E2+$G2+$I2)</f>
        <v/>
      </c>
      <c r="L2" s="14"/>
      <c r="M2" s="14"/>
      <c r="N2" s="14"/>
      <c r="O2" s="14"/>
      <c r="P2" s="14"/>
      <c r="Q2" s="14"/>
      <c r="R2" s="14"/>
      <c r="S2" s="13" t="str">
        <f t="shared" ref="S2:S61" si="4">IF($B2="","",IF($R2="","",IF($R2&gt;6000000,"Above POL-OPEX-CAP","Within cap")))</f>
        <v/>
      </c>
      <c r="T2" s="14"/>
      <c r="U2" s="13" t="str">
        <f t="shared" ref="U2:U61" si="5">IF($B2="","",IF($T2="","",IF($T2&lt;15000000,"Below POL-CASH-GUARD","Above guardrail")))</f>
        <v/>
      </c>
      <c r="V2" s="14"/>
      <c r="W2" s="14"/>
      <c r="X2" s="14"/>
      <c r="Y2" s="13" t="str">
        <f t="shared" ref="Y2:Y61" si="6">IF($B2="","",IF($K2="","",$K2-$Q2))</f>
        <v/>
      </c>
      <c r="Z2" s="13" t="str">
        <f t="shared" ref="Z2:Z61" si="7">IF($B2="","",IF($Y2="","",$Y2))</f>
        <v/>
      </c>
      <c r="AA2" s="15"/>
      <c r="AB2" s="14"/>
      <c r="AC2" s="14"/>
      <c r="AD2" s="14"/>
      <c r="AE2" s="14"/>
    </row>
    <row r="3">
      <c r="A3" s="13" t="str">
        <f t="shared" si="1"/>
        <v/>
      </c>
      <c r="B3" s="14"/>
      <c r="C3" s="15"/>
      <c r="D3" s="14"/>
      <c r="E3" s="14"/>
      <c r="F3" s="14"/>
      <c r="G3" s="14"/>
      <c r="H3" s="14"/>
      <c r="I3" s="14"/>
      <c r="J3" s="13" t="str">
        <f t="shared" si="2"/>
        <v/>
      </c>
      <c r="K3" s="13" t="str">
        <f t="shared" si="3"/>
        <v/>
      </c>
      <c r="L3" s="14"/>
      <c r="M3" s="14"/>
      <c r="N3" s="14"/>
      <c r="O3" s="14"/>
      <c r="P3" s="14"/>
      <c r="Q3" s="14"/>
      <c r="R3" s="14"/>
      <c r="S3" s="13" t="str">
        <f t="shared" si="4"/>
        <v/>
      </c>
      <c r="T3" s="14"/>
      <c r="U3" s="13" t="str">
        <f t="shared" si="5"/>
        <v/>
      </c>
      <c r="V3" s="14"/>
      <c r="W3" s="14"/>
      <c r="X3" s="14"/>
      <c r="Y3" s="13" t="str">
        <f t="shared" si="6"/>
        <v/>
      </c>
      <c r="Z3" s="13" t="str">
        <f t="shared" si="7"/>
        <v/>
      </c>
      <c r="AA3" s="15"/>
      <c r="AB3" s="14"/>
      <c r="AC3" s="14"/>
      <c r="AD3" s="14"/>
      <c r="AE3" s="14"/>
    </row>
    <row r="4">
      <c r="A4" s="13" t="str">
        <f t="shared" si="1"/>
        <v/>
      </c>
      <c r="B4" s="14"/>
      <c r="C4" s="15"/>
      <c r="D4" s="14"/>
      <c r="E4" s="14"/>
      <c r="F4" s="14"/>
      <c r="G4" s="14"/>
      <c r="H4" s="14"/>
      <c r="I4" s="14"/>
      <c r="J4" s="13" t="str">
        <f t="shared" si="2"/>
        <v/>
      </c>
      <c r="K4" s="13" t="str">
        <f t="shared" si="3"/>
        <v/>
      </c>
      <c r="L4" s="14"/>
      <c r="M4" s="14"/>
      <c r="N4" s="14"/>
      <c r="O4" s="14"/>
      <c r="P4" s="14"/>
      <c r="Q4" s="14"/>
      <c r="R4" s="14"/>
      <c r="S4" s="13" t="str">
        <f t="shared" si="4"/>
        <v/>
      </c>
      <c r="T4" s="14"/>
      <c r="U4" s="13" t="str">
        <f t="shared" si="5"/>
        <v/>
      </c>
      <c r="V4" s="14"/>
      <c r="W4" s="14"/>
      <c r="X4" s="14"/>
      <c r="Y4" s="13" t="str">
        <f t="shared" si="6"/>
        <v/>
      </c>
      <c r="Z4" s="13" t="str">
        <f t="shared" si="7"/>
        <v/>
      </c>
      <c r="AA4" s="15"/>
      <c r="AB4" s="14"/>
      <c r="AC4" s="14"/>
      <c r="AD4" s="14"/>
      <c r="AE4" s="14"/>
    </row>
    <row r="5">
      <c r="A5" s="13" t="str">
        <f t="shared" si="1"/>
        <v/>
      </c>
      <c r="B5" s="14"/>
      <c r="C5" s="15"/>
      <c r="D5" s="14"/>
      <c r="E5" s="14"/>
      <c r="F5" s="14"/>
      <c r="G5" s="14"/>
      <c r="H5" s="14"/>
      <c r="I5" s="14"/>
      <c r="J5" s="13" t="str">
        <f t="shared" si="2"/>
        <v/>
      </c>
      <c r="K5" s="13" t="str">
        <f t="shared" si="3"/>
        <v/>
      </c>
      <c r="L5" s="14"/>
      <c r="M5" s="14"/>
      <c r="N5" s="14"/>
      <c r="O5" s="14"/>
      <c r="P5" s="14"/>
      <c r="Q5" s="14"/>
      <c r="R5" s="14"/>
      <c r="S5" s="13" t="str">
        <f t="shared" si="4"/>
        <v/>
      </c>
      <c r="T5" s="14"/>
      <c r="U5" s="13" t="str">
        <f t="shared" si="5"/>
        <v/>
      </c>
      <c r="V5" s="14"/>
      <c r="W5" s="14"/>
      <c r="X5" s="14"/>
      <c r="Y5" s="13" t="str">
        <f t="shared" si="6"/>
        <v/>
      </c>
      <c r="Z5" s="13" t="str">
        <f t="shared" si="7"/>
        <v/>
      </c>
      <c r="AA5" s="15"/>
      <c r="AB5" s="14"/>
      <c r="AC5" s="14"/>
      <c r="AD5" s="14"/>
      <c r="AE5" s="14"/>
    </row>
    <row r="6">
      <c r="A6" s="13" t="str">
        <f t="shared" si="1"/>
        <v/>
      </c>
      <c r="B6" s="14"/>
      <c r="C6" s="15"/>
      <c r="D6" s="14"/>
      <c r="E6" s="14"/>
      <c r="F6" s="14"/>
      <c r="G6" s="14"/>
      <c r="H6" s="14"/>
      <c r="I6" s="14"/>
      <c r="J6" s="13" t="str">
        <f t="shared" si="2"/>
        <v/>
      </c>
      <c r="K6" s="13" t="str">
        <f t="shared" si="3"/>
        <v/>
      </c>
      <c r="L6" s="14"/>
      <c r="M6" s="14"/>
      <c r="N6" s="14"/>
      <c r="O6" s="14"/>
      <c r="P6" s="14"/>
      <c r="Q6" s="14"/>
      <c r="R6" s="14"/>
      <c r="S6" s="13" t="str">
        <f t="shared" si="4"/>
        <v/>
      </c>
      <c r="T6" s="14"/>
      <c r="U6" s="13" t="str">
        <f t="shared" si="5"/>
        <v/>
      </c>
      <c r="V6" s="14"/>
      <c r="W6" s="14"/>
      <c r="X6" s="14"/>
      <c r="Y6" s="13" t="str">
        <f t="shared" si="6"/>
        <v/>
      </c>
      <c r="Z6" s="13" t="str">
        <f t="shared" si="7"/>
        <v/>
      </c>
      <c r="AA6" s="15"/>
      <c r="AB6" s="14"/>
      <c r="AC6" s="14"/>
      <c r="AD6" s="14"/>
      <c r="AE6" s="14"/>
    </row>
    <row r="7">
      <c r="A7" s="13" t="str">
        <f t="shared" si="1"/>
        <v/>
      </c>
      <c r="B7" s="14"/>
      <c r="C7" s="15"/>
      <c r="D7" s="14"/>
      <c r="E7" s="14"/>
      <c r="F7" s="14"/>
      <c r="G7" s="14"/>
      <c r="H7" s="14"/>
      <c r="I7" s="14"/>
      <c r="J7" s="13" t="str">
        <f t="shared" si="2"/>
        <v/>
      </c>
      <c r="K7" s="13" t="str">
        <f t="shared" si="3"/>
        <v/>
      </c>
      <c r="L7" s="14"/>
      <c r="M7" s="14"/>
      <c r="N7" s="14"/>
      <c r="O7" s="14"/>
      <c r="P7" s="14"/>
      <c r="Q7" s="14"/>
      <c r="R7" s="14"/>
      <c r="S7" s="13" t="str">
        <f t="shared" si="4"/>
        <v/>
      </c>
      <c r="T7" s="14"/>
      <c r="U7" s="13" t="str">
        <f t="shared" si="5"/>
        <v/>
      </c>
      <c r="V7" s="14"/>
      <c r="W7" s="14"/>
      <c r="X7" s="14"/>
      <c r="Y7" s="13" t="str">
        <f t="shared" si="6"/>
        <v/>
      </c>
      <c r="Z7" s="13" t="str">
        <f t="shared" si="7"/>
        <v/>
      </c>
      <c r="AA7" s="15"/>
      <c r="AB7" s="14"/>
      <c r="AC7" s="14"/>
      <c r="AD7" s="14"/>
      <c r="AE7" s="14"/>
    </row>
    <row r="8">
      <c r="A8" s="13" t="str">
        <f t="shared" si="1"/>
        <v/>
      </c>
      <c r="B8" s="14"/>
      <c r="C8" s="15"/>
      <c r="D8" s="14"/>
      <c r="E8" s="14"/>
      <c r="F8" s="14"/>
      <c r="G8" s="14"/>
      <c r="H8" s="14"/>
      <c r="I8" s="14"/>
      <c r="J8" s="13" t="str">
        <f t="shared" si="2"/>
        <v/>
      </c>
      <c r="K8" s="13" t="str">
        <f t="shared" si="3"/>
        <v/>
      </c>
      <c r="L8" s="14"/>
      <c r="M8" s="14"/>
      <c r="N8" s="14"/>
      <c r="O8" s="14"/>
      <c r="P8" s="14"/>
      <c r="Q8" s="14"/>
      <c r="R8" s="14"/>
      <c r="S8" s="13" t="str">
        <f t="shared" si="4"/>
        <v/>
      </c>
      <c r="T8" s="14"/>
      <c r="U8" s="13" t="str">
        <f t="shared" si="5"/>
        <v/>
      </c>
      <c r="V8" s="14"/>
      <c r="W8" s="14"/>
      <c r="X8" s="14"/>
      <c r="Y8" s="13" t="str">
        <f t="shared" si="6"/>
        <v/>
      </c>
      <c r="Z8" s="13" t="str">
        <f t="shared" si="7"/>
        <v/>
      </c>
      <c r="AA8" s="15"/>
      <c r="AB8" s="14"/>
      <c r="AC8" s="14"/>
      <c r="AD8" s="14"/>
      <c r="AE8" s="14"/>
    </row>
    <row r="9">
      <c r="A9" s="13" t="str">
        <f t="shared" si="1"/>
        <v/>
      </c>
      <c r="B9" s="14"/>
      <c r="C9" s="15"/>
      <c r="D9" s="14"/>
      <c r="E9" s="14"/>
      <c r="F9" s="14"/>
      <c r="G9" s="14"/>
      <c r="H9" s="14"/>
      <c r="I9" s="14"/>
      <c r="J9" s="13" t="str">
        <f t="shared" si="2"/>
        <v/>
      </c>
      <c r="K9" s="13" t="str">
        <f t="shared" si="3"/>
        <v/>
      </c>
      <c r="L9" s="14"/>
      <c r="M9" s="14"/>
      <c r="N9" s="14"/>
      <c r="O9" s="14"/>
      <c r="P9" s="14"/>
      <c r="Q9" s="14"/>
      <c r="R9" s="14"/>
      <c r="S9" s="13" t="str">
        <f t="shared" si="4"/>
        <v/>
      </c>
      <c r="T9" s="14"/>
      <c r="U9" s="13" t="str">
        <f t="shared" si="5"/>
        <v/>
      </c>
      <c r="V9" s="14"/>
      <c r="W9" s="14"/>
      <c r="X9" s="14"/>
      <c r="Y9" s="13" t="str">
        <f t="shared" si="6"/>
        <v/>
      </c>
      <c r="Z9" s="13" t="str">
        <f t="shared" si="7"/>
        <v/>
      </c>
      <c r="AA9" s="15"/>
      <c r="AB9" s="14"/>
      <c r="AC9" s="14"/>
      <c r="AD9" s="14"/>
      <c r="AE9" s="14"/>
    </row>
    <row r="10">
      <c r="A10" s="13" t="str">
        <f t="shared" si="1"/>
        <v/>
      </c>
      <c r="B10" s="14"/>
      <c r="C10" s="15"/>
      <c r="D10" s="14"/>
      <c r="E10" s="14"/>
      <c r="F10" s="14"/>
      <c r="G10" s="14"/>
      <c r="H10" s="14"/>
      <c r="I10" s="14"/>
      <c r="J10" s="13" t="str">
        <f t="shared" si="2"/>
        <v/>
      </c>
      <c r="K10" s="13" t="str">
        <f t="shared" si="3"/>
        <v/>
      </c>
      <c r="L10" s="14"/>
      <c r="M10" s="14"/>
      <c r="N10" s="14"/>
      <c r="O10" s="14"/>
      <c r="P10" s="14"/>
      <c r="Q10" s="14"/>
      <c r="R10" s="14"/>
      <c r="S10" s="13" t="str">
        <f t="shared" si="4"/>
        <v/>
      </c>
      <c r="T10" s="14"/>
      <c r="U10" s="13" t="str">
        <f t="shared" si="5"/>
        <v/>
      </c>
      <c r="V10" s="14"/>
      <c r="W10" s="14"/>
      <c r="X10" s="14"/>
      <c r="Y10" s="13" t="str">
        <f t="shared" si="6"/>
        <v/>
      </c>
      <c r="Z10" s="13" t="str">
        <f t="shared" si="7"/>
        <v/>
      </c>
      <c r="AA10" s="15"/>
      <c r="AB10" s="14"/>
      <c r="AC10" s="14"/>
      <c r="AD10" s="14"/>
      <c r="AE10" s="14"/>
    </row>
    <row r="11">
      <c r="A11" s="13" t="str">
        <f t="shared" si="1"/>
        <v/>
      </c>
      <c r="B11" s="14"/>
      <c r="C11" s="15"/>
      <c r="D11" s="14"/>
      <c r="E11" s="14"/>
      <c r="F11" s="14"/>
      <c r="G11" s="14"/>
      <c r="H11" s="14"/>
      <c r="I11" s="14"/>
      <c r="J11" s="13" t="str">
        <f t="shared" si="2"/>
        <v/>
      </c>
      <c r="K11" s="13" t="str">
        <f t="shared" si="3"/>
        <v/>
      </c>
      <c r="L11" s="14"/>
      <c r="M11" s="14"/>
      <c r="N11" s="14"/>
      <c r="O11" s="14"/>
      <c r="P11" s="14"/>
      <c r="Q11" s="14"/>
      <c r="R11" s="14"/>
      <c r="S11" s="13" t="str">
        <f t="shared" si="4"/>
        <v/>
      </c>
      <c r="T11" s="14"/>
      <c r="U11" s="13" t="str">
        <f t="shared" si="5"/>
        <v/>
      </c>
      <c r="V11" s="14"/>
      <c r="W11" s="14"/>
      <c r="X11" s="14"/>
      <c r="Y11" s="13" t="str">
        <f t="shared" si="6"/>
        <v/>
      </c>
      <c r="Z11" s="13" t="str">
        <f t="shared" si="7"/>
        <v/>
      </c>
      <c r="AA11" s="15"/>
      <c r="AB11" s="14"/>
      <c r="AC11" s="14"/>
      <c r="AD11" s="14"/>
      <c r="AE11" s="14"/>
    </row>
    <row r="12">
      <c r="A12" s="13" t="str">
        <f t="shared" si="1"/>
        <v/>
      </c>
      <c r="B12" s="14"/>
      <c r="C12" s="15"/>
      <c r="D12" s="14"/>
      <c r="E12" s="14"/>
      <c r="F12" s="14"/>
      <c r="G12" s="14"/>
      <c r="H12" s="14"/>
      <c r="I12" s="14"/>
      <c r="J12" s="13" t="str">
        <f t="shared" si="2"/>
        <v/>
      </c>
      <c r="K12" s="13" t="str">
        <f t="shared" si="3"/>
        <v/>
      </c>
      <c r="L12" s="14"/>
      <c r="M12" s="14"/>
      <c r="N12" s="14"/>
      <c r="O12" s="14"/>
      <c r="P12" s="14"/>
      <c r="Q12" s="14"/>
      <c r="R12" s="14"/>
      <c r="S12" s="13" t="str">
        <f t="shared" si="4"/>
        <v/>
      </c>
      <c r="T12" s="14"/>
      <c r="U12" s="13" t="str">
        <f t="shared" si="5"/>
        <v/>
      </c>
      <c r="V12" s="14"/>
      <c r="W12" s="14"/>
      <c r="X12" s="14"/>
      <c r="Y12" s="13" t="str">
        <f t="shared" si="6"/>
        <v/>
      </c>
      <c r="Z12" s="13" t="str">
        <f t="shared" si="7"/>
        <v/>
      </c>
      <c r="AA12" s="15"/>
      <c r="AB12" s="14"/>
      <c r="AC12" s="14"/>
      <c r="AD12" s="14"/>
      <c r="AE12" s="14"/>
    </row>
    <row r="13">
      <c r="A13" s="13" t="str">
        <f t="shared" si="1"/>
        <v/>
      </c>
      <c r="B13" s="14"/>
      <c r="C13" s="15"/>
      <c r="D13" s="14"/>
      <c r="E13" s="14"/>
      <c r="F13" s="14"/>
      <c r="G13" s="14"/>
      <c r="H13" s="14"/>
      <c r="I13" s="14"/>
      <c r="J13" s="13" t="str">
        <f t="shared" si="2"/>
        <v/>
      </c>
      <c r="K13" s="13" t="str">
        <f t="shared" si="3"/>
        <v/>
      </c>
      <c r="L13" s="14"/>
      <c r="M13" s="14"/>
      <c r="N13" s="14"/>
      <c r="O13" s="14"/>
      <c r="P13" s="14"/>
      <c r="Q13" s="14"/>
      <c r="R13" s="14"/>
      <c r="S13" s="13" t="str">
        <f t="shared" si="4"/>
        <v/>
      </c>
      <c r="T13" s="14"/>
      <c r="U13" s="13" t="str">
        <f t="shared" si="5"/>
        <v/>
      </c>
      <c r="V13" s="14"/>
      <c r="W13" s="14"/>
      <c r="X13" s="14"/>
      <c r="Y13" s="13" t="str">
        <f t="shared" si="6"/>
        <v/>
      </c>
      <c r="Z13" s="13" t="str">
        <f t="shared" si="7"/>
        <v/>
      </c>
      <c r="AA13" s="15"/>
      <c r="AB13" s="14"/>
      <c r="AC13" s="14"/>
      <c r="AD13" s="14"/>
      <c r="AE13" s="14"/>
    </row>
    <row r="14">
      <c r="A14" s="13" t="str">
        <f t="shared" si="1"/>
        <v/>
      </c>
      <c r="B14" s="14"/>
      <c r="C14" s="15"/>
      <c r="D14" s="14"/>
      <c r="E14" s="14"/>
      <c r="F14" s="14"/>
      <c r="G14" s="14"/>
      <c r="H14" s="14"/>
      <c r="I14" s="14"/>
      <c r="J14" s="13" t="str">
        <f t="shared" si="2"/>
        <v/>
      </c>
      <c r="K14" s="13" t="str">
        <f t="shared" si="3"/>
        <v/>
      </c>
      <c r="L14" s="14"/>
      <c r="M14" s="14"/>
      <c r="N14" s="14"/>
      <c r="O14" s="14"/>
      <c r="P14" s="14"/>
      <c r="Q14" s="14"/>
      <c r="R14" s="14"/>
      <c r="S14" s="13" t="str">
        <f t="shared" si="4"/>
        <v/>
      </c>
      <c r="T14" s="14"/>
      <c r="U14" s="13" t="str">
        <f t="shared" si="5"/>
        <v/>
      </c>
      <c r="V14" s="14"/>
      <c r="W14" s="14"/>
      <c r="X14" s="14"/>
      <c r="Y14" s="13" t="str">
        <f t="shared" si="6"/>
        <v/>
      </c>
      <c r="Z14" s="13" t="str">
        <f t="shared" si="7"/>
        <v/>
      </c>
      <c r="AA14" s="15"/>
      <c r="AB14" s="14"/>
      <c r="AC14" s="14"/>
      <c r="AD14" s="14"/>
      <c r="AE14" s="14"/>
    </row>
    <row r="15">
      <c r="A15" s="13" t="str">
        <f t="shared" si="1"/>
        <v/>
      </c>
      <c r="B15" s="14"/>
      <c r="C15" s="15"/>
      <c r="D15" s="14"/>
      <c r="E15" s="14"/>
      <c r="F15" s="14"/>
      <c r="G15" s="14"/>
      <c r="H15" s="14"/>
      <c r="I15" s="14"/>
      <c r="J15" s="13" t="str">
        <f t="shared" si="2"/>
        <v/>
      </c>
      <c r="K15" s="13" t="str">
        <f t="shared" si="3"/>
        <v/>
      </c>
      <c r="L15" s="14"/>
      <c r="M15" s="14"/>
      <c r="N15" s="14"/>
      <c r="O15" s="14"/>
      <c r="P15" s="14"/>
      <c r="Q15" s="14"/>
      <c r="R15" s="14"/>
      <c r="S15" s="13" t="str">
        <f t="shared" si="4"/>
        <v/>
      </c>
      <c r="T15" s="14"/>
      <c r="U15" s="13" t="str">
        <f t="shared" si="5"/>
        <v/>
      </c>
      <c r="V15" s="14"/>
      <c r="W15" s="14"/>
      <c r="X15" s="14"/>
      <c r="Y15" s="13" t="str">
        <f t="shared" si="6"/>
        <v/>
      </c>
      <c r="Z15" s="13" t="str">
        <f t="shared" si="7"/>
        <v/>
      </c>
      <c r="AA15" s="15"/>
      <c r="AB15" s="14"/>
      <c r="AC15" s="14"/>
      <c r="AD15" s="14"/>
      <c r="AE15" s="14"/>
    </row>
    <row r="16">
      <c r="A16" s="13" t="str">
        <f t="shared" si="1"/>
        <v/>
      </c>
      <c r="B16" s="14"/>
      <c r="C16" s="15"/>
      <c r="D16" s="14"/>
      <c r="E16" s="14"/>
      <c r="F16" s="14"/>
      <c r="G16" s="14"/>
      <c r="H16" s="14"/>
      <c r="I16" s="14"/>
      <c r="J16" s="13" t="str">
        <f t="shared" si="2"/>
        <v/>
      </c>
      <c r="K16" s="13" t="str">
        <f t="shared" si="3"/>
        <v/>
      </c>
      <c r="L16" s="14"/>
      <c r="M16" s="14"/>
      <c r="N16" s="14"/>
      <c r="O16" s="14"/>
      <c r="P16" s="14"/>
      <c r="Q16" s="14"/>
      <c r="R16" s="14"/>
      <c r="S16" s="13" t="str">
        <f t="shared" si="4"/>
        <v/>
      </c>
      <c r="T16" s="14"/>
      <c r="U16" s="13" t="str">
        <f t="shared" si="5"/>
        <v/>
      </c>
      <c r="V16" s="14"/>
      <c r="W16" s="14"/>
      <c r="X16" s="14"/>
      <c r="Y16" s="13" t="str">
        <f t="shared" si="6"/>
        <v/>
      </c>
      <c r="Z16" s="13" t="str">
        <f t="shared" si="7"/>
        <v/>
      </c>
      <c r="AA16" s="15"/>
      <c r="AB16" s="14"/>
      <c r="AC16" s="14"/>
      <c r="AD16" s="14"/>
      <c r="AE16" s="14"/>
    </row>
    <row r="17">
      <c r="A17" s="13" t="str">
        <f t="shared" si="1"/>
        <v/>
      </c>
      <c r="B17" s="14"/>
      <c r="C17" s="15"/>
      <c r="D17" s="14"/>
      <c r="E17" s="14"/>
      <c r="F17" s="14"/>
      <c r="G17" s="14"/>
      <c r="H17" s="14"/>
      <c r="I17" s="14"/>
      <c r="J17" s="13" t="str">
        <f t="shared" si="2"/>
        <v/>
      </c>
      <c r="K17" s="13" t="str">
        <f t="shared" si="3"/>
        <v/>
      </c>
      <c r="L17" s="14"/>
      <c r="M17" s="14"/>
      <c r="N17" s="14"/>
      <c r="O17" s="14"/>
      <c r="P17" s="14"/>
      <c r="Q17" s="14"/>
      <c r="R17" s="14"/>
      <c r="S17" s="13" t="str">
        <f t="shared" si="4"/>
        <v/>
      </c>
      <c r="T17" s="14"/>
      <c r="U17" s="13" t="str">
        <f t="shared" si="5"/>
        <v/>
      </c>
      <c r="V17" s="14"/>
      <c r="W17" s="14"/>
      <c r="X17" s="14"/>
      <c r="Y17" s="13" t="str">
        <f t="shared" si="6"/>
        <v/>
      </c>
      <c r="Z17" s="13" t="str">
        <f t="shared" si="7"/>
        <v/>
      </c>
      <c r="AA17" s="15"/>
      <c r="AB17" s="14"/>
      <c r="AC17" s="14"/>
      <c r="AD17" s="14"/>
      <c r="AE17" s="14"/>
    </row>
    <row r="18">
      <c r="A18" s="13" t="str">
        <f t="shared" si="1"/>
        <v/>
      </c>
      <c r="B18" s="14"/>
      <c r="C18" s="15"/>
      <c r="D18" s="14"/>
      <c r="E18" s="14"/>
      <c r="F18" s="14"/>
      <c r="G18" s="14"/>
      <c r="H18" s="14"/>
      <c r="I18" s="14"/>
      <c r="J18" s="13" t="str">
        <f t="shared" si="2"/>
        <v/>
      </c>
      <c r="K18" s="13" t="str">
        <f t="shared" si="3"/>
        <v/>
      </c>
      <c r="L18" s="14"/>
      <c r="M18" s="14"/>
      <c r="N18" s="14"/>
      <c r="O18" s="14"/>
      <c r="P18" s="14"/>
      <c r="Q18" s="14"/>
      <c r="R18" s="14"/>
      <c r="S18" s="13" t="str">
        <f t="shared" si="4"/>
        <v/>
      </c>
      <c r="T18" s="14"/>
      <c r="U18" s="13" t="str">
        <f t="shared" si="5"/>
        <v/>
      </c>
      <c r="V18" s="14"/>
      <c r="W18" s="14"/>
      <c r="X18" s="14"/>
      <c r="Y18" s="13" t="str">
        <f t="shared" si="6"/>
        <v/>
      </c>
      <c r="Z18" s="13" t="str">
        <f t="shared" si="7"/>
        <v/>
      </c>
      <c r="AA18" s="15"/>
      <c r="AB18" s="14"/>
      <c r="AC18" s="14"/>
      <c r="AD18" s="14"/>
      <c r="AE18" s="14"/>
    </row>
    <row r="19">
      <c r="A19" s="13" t="str">
        <f t="shared" si="1"/>
        <v/>
      </c>
      <c r="B19" s="14"/>
      <c r="C19" s="15"/>
      <c r="D19" s="14"/>
      <c r="E19" s="14"/>
      <c r="F19" s="14"/>
      <c r="G19" s="14"/>
      <c r="H19" s="14"/>
      <c r="I19" s="14"/>
      <c r="J19" s="13" t="str">
        <f t="shared" si="2"/>
        <v/>
      </c>
      <c r="K19" s="13" t="str">
        <f t="shared" si="3"/>
        <v/>
      </c>
      <c r="L19" s="14"/>
      <c r="M19" s="14"/>
      <c r="N19" s="14"/>
      <c r="O19" s="14"/>
      <c r="P19" s="14"/>
      <c r="Q19" s="14"/>
      <c r="R19" s="14"/>
      <c r="S19" s="13" t="str">
        <f t="shared" si="4"/>
        <v/>
      </c>
      <c r="T19" s="14"/>
      <c r="U19" s="13" t="str">
        <f t="shared" si="5"/>
        <v/>
      </c>
      <c r="V19" s="14"/>
      <c r="W19" s="14"/>
      <c r="X19" s="14"/>
      <c r="Y19" s="13" t="str">
        <f t="shared" si="6"/>
        <v/>
      </c>
      <c r="Z19" s="13" t="str">
        <f t="shared" si="7"/>
        <v/>
      </c>
      <c r="AA19" s="15"/>
      <c r="AB19" s="14"/>
      <c r="AC19" s="14"/>
      <c r="AD19" s="14"/>
      <c r="AE19" s="14"/>
    </row>
    <row r="20">
      <c r="A20" s="13" t="str">
        <f t="shared" si="1"/>
        <v/>
      </c>
      <c r="B20" s="14"/>
      <c r="C20" s="15"/>
      <c r="D20" s="14"/>
      <c r="E20" s="14"/>
      <c r="F20" s="14"/>
      <c r="G20" s="14"/>
      <c r="H20" s="14"/>
      <c r="I20" s="14"/>
      <c r="J20" s="13" t="str">
        <f t="shared" si="2"/>
        <v/>
      </c>
      <c r="K20" s="13" t="str">
        <f t="shared" si="3"/>
        <v/>
      </c>
      <c r="L20" s="14"/>
      <c r="M20" s="14"/>
      <c r="N20" s="14"/>
      <c r="O20" s="14"/>
      <c r="P20" s="14"/>
      <c r="Q20" s="14"/>
      <c r="R20" s="14"/>
      <c r="S20" s="13" t="str">
        <f t="shared" si="4"/>
        <v/>
      </c>
      <c r="T20" s="14"/>
      <c r="U20" s="13" t="str">
        <f t="shared" si="5"/>
        <v/>
      </c>
      <c r="V20" s="14"/>
      <c r="W20" s="14"/>
      <c r="X20" s="14"/>
      <c r="Y20" s="13" t="str">
        <f t="shared" si="6"/>
        <v/>
      </c>
      <c r="Z20" s="13" t="str">
        <f t="shared" si="7"/>
        <v/>
      </c>
      <c r="AA20" s="15"/>
      <c r="AB20" s="14"/>
      <c r="AC20" s="14"/>
      <c r="AD20" s="14"/>
      <c r="AE20" s="14"/>
    </row>
    <row r="21" ht="15.75" customHeight="1">
      <c r="A21" s="13" t="str">
        <f t="shared" si="1"/>
        <v/>
      </c>
      <c r="B21" s="14"/>
      <c r="C21" s="15"/>
      <c r="D21" s="14"/>
      <c r="E21" s="14"/>
      <c r="F21" s="14"/>
      <c r="G21" s="14"/>
      <c r="H21" s="14"/>
      <c r="I21" s="14"/>
      <c r="J21" s="13" t="str">
        <f t="shared" si="2"/>
        <v/>
      </c>
      <c r="K21" s="13" t="str">
        <f t="shared" si="3"/>
        <v/>
      </c>
      <c r="L21" s="14"/>
      <c r="M21" s="14"/>
      <c r="N21" s="14"/>
      <c r="O21" s="14"/>
      <c r="P21" s="14"/>
      <c r="Q21" s="14"/>
      <c r="R21" s="14"/>
      <c r="S21" s="13" t="str">
        <f t="shared" si="4"/>
        <v/>
      </c>
      <c r="T21" s="14"/>
      <c r="U21" s="13" t="str">
        <f t="shared" si="5"/>
        <v/>
      </c>
      <c r="V21" s="14"/>
      <c r="W21" s="14"/>
      <c r="X21" s="14"/>
      <c r="Y21" s="13" t="str">
        <f t="shared" si="6"/>
        <v/>
      </c>
      <c r="Z21" s="13" t="str">
        <f t="shared" si="7"/>
        <v/>
      </c>
      <c r="AA21" s="15"/>
      <c r="AB21" s="14"/>
      <c r="AC21" s="14"/>
      <c r="AD21" s="14"/>
      <c r="AE21" s="14"/>
    </row>
    <row r="22" ht="15.75" customHeight="1">
      <c r="A22" s="13" t="str">
        <f t="shared" si="1"/>
        <v/>
      </c>
      <c r="B22" s="14"/>
      <c r="C22" s="15"/>
      <c r="D22" s="14"/>
      <c r="E22" s="14"/>
      <c r="F22" s="14"/>
      <c r="G22" s="14"/>
      <c r="H22" s="14"/>
      <c r="I22" s="14"/>
      <c r="J22" s="13" t="str">
        <f t="shared" si="2"/>
        <v/>
      </c>
      <c r="K22" s="13" t="str">
        <f t="shared" si="3"/>
        <v/>
      </c>
      <c r="L22" s="14"/>
      <c r="M22" s="14"/>
      <c r="N22" s="14"/>
      <c r="O22" s="14"/>
      <c r="P22" s="14"/>
      <c r="Q22" s="14"/>
      <c r="R22" s="14"/>
      <c r="S22" s="13" t="str">
        <f t="shared" si="4"/>
        <v/>
      </c>
      <c r="T22" s="14"/>
      <c r="U22" s="13" t="str">
        <f t="shared" si="5"/>
        <v/>
      </c>
      <c r="V22" s="14"/>
      <c r="W22" s="14"/>
      <c r="X22" s="14"/>
      <c r="Y22" s="13" t="str">
        <f t="shared" si="6"/>
        <v/>
      </c>
      <c r="Z22" s="13" t="str">
        <f t="shared" si="7"/>
        <v/>
      </c>
      <c r="AA22" s="15"/>
      <c r="AB22" s="14"/>
      <c r="AC22" s="14"/>
      <c r="AD22" s="14"/>
      <c r="AE22" s="14"/>
    </row>
    <row r="23" ht="15.75" customHeight="1">
      <c r="A23" s="13" t="str">
        <f t="shared" si="1"/>
        <v/>
      </c>
      <c r="B23" s="14"/>
      <c r="C23" s="15"/>
      <c r="D23" s="14"/>
      <c r="E23" s="14"/>
      <c r="F23" s="14"/>
      <c r="G23" s="14"/>
      <c r="H23" s="14"/>
      <c r="I23" s="14"/>
      <c r="J23" s="13" t="str">
        <f t="shared" si="2"/>
        <v/>
      </c>
      <c r="K23" s="13" t="str">
        <f t="shared" si="3"/>
        <v/>
      </c>
      <c r="L23" s="14"/>
      <c r="M23" s="14"/>
      <c r="N23" s="14"/>
      <c r="O23" s="14"/>
      <c r="P23" s="14"/>
      <c r="Q23" s="14"/>
      <c r="R23" s="14"/>
      <c r="S23" s="13" t="str">
        <f t="shared" si="4"/>
        <v/>
      </c>
      <c r="T23" s="14"/>
      <c r="U23" s="13" t="str">
        <f t="shared" si="5"/>
        <v/>
      </c>
      <c r="V23" s="14"/>
      <c r="W23" s="14"/>
      <c r="X23" s="14"/>
      <c r="Y23" s="13" t="str">
        <f t="shared" si="6"/>
        <v/>
      </c>
      <c r="Z23" s="13" t="str">
        <f t="shared" si="7"/>
        <v/>
      </c>
      <c r="AA23" s="15"/>
      <c r="AB23" s="14"/>
      <c r="AC23" s="14"/>
      <c r="AD23" s="14"/>
      <c r="AE23" s="14"/>
    </row>
    <row r="24" ht="15.75" customHeight="1">
      <c r="A24" s="13" t="str">
        <f t="shared" si="1"/>
        <v/>
      </c>
      <c r="B24" s="14"/>
      <c r="C24" s="15"/>
      <c r="D24" s="14"/>
      <c r="E24" s="14"/>
      <c r="F24" s="14"/>
      <c r="G24" s="14"/>
      <c r="H24" s="14"/>
      <c r="I24" s="14"/>
      <c r="J24" s="13" t="str">
        <f t="shared" si="2"/>
        <v/>
      </c>
      <c r="K24" s="13" t="str">
        <f t="shared" si="3"/>
        <v/>
      </c>
      <c r="L24" s="14"/>
      <c r="M24" s="14"/>
      <c r="N24" s="14"/>
      <c r="O24" s="14"/>
      <c r="P24" s="14"/>
      <c r="Q24" s="14"/>
      <c r="R24" s="14"/>
      <c r="S24" s="13" t="str">
        <f t="shared" si="4"/>
        <v/>
      </c>
      <c r="T24" s="14"/>
      <c r="U24" s="13" t="str">
        <f t="shared" si="5"/>
        <v/>
      </c>
      <c r="V24" s="14"/>
      <c r="W24" s="14"/>
      <c r="X24" s="14"/>
      <c r="Y24" s="13" t="str">
        <f t="shared" si="6"/>
        <v/>
      </c>
      <c r="Z24" s="13" t="str">
        <f t="shared" si="7"/>
        <v/>
      </c>
      <c r="AA24" s="15"/>
      <c r="AB24" s="14"/>
      <c r="AC24" s="14"/>
      <c r="AD24" s="14"/>
      <c r="AE24" s="14"/>
    </row>
    <row r="25" ht="15.75" customHeight="1">
      <c r="A25" s="13" t="str">
        <f t="shared" si="1"/>
        <v/>
      </c>
      <c r="B25" s="14"/>
      <c r="C25" s="15"/>
      <c r="D25" s="14"/>
      <c r="E25" s="14"/>
      <c r="F25" s="14"/>
      <c r="G25" s="14"/>
      <c r="H25" s="14"/>
      <c r="I25" s="14"/>
      <c r="J25" s="13" t="str">
        <f t="shared" si="2"/>
        <v/>
      </c>
      <c r="K25" s="13" t="str">
        <f t="shared" si="3"/>
        <v/>
      </c>
      <c r="L25" s="14"/>
      <c r="M25" s="14"/>
      <c r="N25" s="14"/>
      <c r="O25" s="14"/>
      <c r="P25" s="14"/>
      <c r="Q25" s="14"/>
      <c r="R25" s="14"/>
      <c r="S25" s="13" t="str">
        <f t="shared" si="4"/>
        <v/>
      </c>
      <c r="T25" s="14"/>
      <c r="U25" s="13" t="str">
        <f t="shared" si="5"/>
        <v/>
      </c>
      <c r="V25" s="14"/>
      <c r="W25" s="14"/>
      <c r="X25" s="14"/>
      <c r="Y25" s="13" t="str">
        <f t="shared" si="6"/>
        <v/>
      </c>
      <c r="Z25" s="13" t="str">
        <f t="shared" si="7"/>
        <v/>
      </c>
      <c r="AA25" s="15"/>
      <c r="AB25" s="14"/>
      <c r="AC25" s="14"/>
      <c r="AD25" s="14"/>
      <c r="AE25" s="14"/>
    </row>
    <row r="26" ht="15.75" customHeight="1">
      <c r="A26" s="13" t="str">
        <f t="shared" si="1"/>
        <v/>
      </c>
      <c r="B26" s="14"/>
      <c r="C26" s="15"/>
      <c r="D26" s="14"/>
      <c r="E26" s="14"/>
      <c r="F26" s="14"/>
      <c r="G26" s="14"/>
      <c r="H26" s="14"/>
      <c r="I26" s="14"/>
      <c r="J26" s="13" t="str">
        <f t="shared" si="2"/>
        <v/>
      </c>
      <c r="K26" s="13" t="str">
        <f t="shared" si="3"/>
        <v/>
      </c>
      <c r="L26" s="14"/>
      <c r="M26" s="14"/>
      <c r="N26" s="14"/>
      <c r="O26" s="14"/>
      <c r="P26" s="14"/>
      <c r="Q26" s="14"/>
      <c r="R26" s="14"/>
      <c r="S26" s="13" t="str">
        <f t="shared" si="4"/>
        <v/>
      </c>
      <c r="T26" s="14"/>
      <c r="U26" s="13" t="str">
        <f t="shared" si="5"/>
        <v/>
      </c>
      <c r="V26" s="14"/>
      <c r="W26" s="14"/>
      <c r="X26" s="14"/>
      <c r="Y26" s="13" t="str">
        <f t="shared" si="6"/>
        <v/>
      </c>
      <c r="Z26" s="13" t="str">
        <f t="shared" si="7"/>
        <v/>
      </c>
      <c r="AA26" s="15"/>
      <c r="AB26" s="14"/>
      <c r="AC26" s="14"/>
      <c r="AD26" s="14"/>
      <c r="AE26" s="14"/>
    </row>
    <row r="27" ht="15.75" customHeight="1">
      <c r="A27" s="13" t="str">
        <f t="shared" si="1"/>
        <v/>
      </c>
      <c r="B27" s="14"/>
      <c r="C27" s="15"/>
      <c r="D27" s="14"/>
      <c r="E27" s="14"/>
      <c r="F27" s="14"/>
      <c r="G27" s="14"/>
      <c r="H27" s="14"/>
      <c r="I27" s="14"/>
      <c r="J27" s="13" t="str">
        <f t="shared" si="2"/>
        <v/>
      </c>
      <c r="K27" s="13" t="str">
        <f t="shared" si="3"/>
        <v/>
      </c>
      <c r="L27" s="14"/>
      <c r="M27" s="14"/>
      <c r="N27" s="14"/>
      <c r="O27" s="14"/>
      <c r="P27" s="14"/>
      <c r="Q27" s="14"/>
      <c r="R27" s="14"/>
      <c r="S27" s="13" t="str">
        <f t="shared" si="4"/>
        <v/>
      </c>
      <c r="T27" s="14"/>
      <c r="U27" s="13" t="str">
        <f t="shared" si="5"/>
        <v/>
      </c>
      <c r="V27" s="14"/>
      <c r="W27" s="14"/>
      <c r="X27" s="14"/>
      <c r="Y27" s="13" t="str">
        <f t="shared" si="6"/>
        <v/>
      </c>
      <c r="Z27" s="13" t="str">
        <f t="shared" si="7"/>
        <v/>
      </c>
      <c r="AA27" s="15"/>
      <c r="AB27" s="14"/>
      <c r="AC27" s="14"/>
      <c r="AD27" s="14"/>
      <c r="AE27" s="14"/>
    </row>
    <row r="28" ht="15.75" customHeight="1">
      <c r="A28" s="13" t="str">
        <f t="shared" si="1"/>
        <v/>
      </c>
      <c r="B28" s="14"/>
      <c r="C28" s="15"/>
      <c r="D28" s="14"/>
      <c r="E28" s="14"/>
      <c r="F28" s="14"/>
      <c r="G28" s="14"/>
      <c r="H28" s="14"/>
      <c r="I28" s="14"/>
      <c r="J28" s="13" t="str">
        <f t="shared" si="2"/>
        <v/>
      </c>
      <c r="K28" s="13" t="str">
        <f t="shared" si="3"/>
        <v/>
      </c>
      <c r="L28" s="14"/>
      <c r="M28" s="14"/>
      <c r="N28" s="14"/>
      <c r="O28" s="14"/>
      <c r="P28" s="14"/>
      <c r="Q28" s="14"/>
      <c r="R28" s="14"/>
      <c r="S28" s="13" t="str">
        <f t="shared" si="4"/>
        <v/>
      </c>
      <c r="T28" s="14"/>
      <c r="U28" s="13" t="str">
        <f t="shared" si="5"/>
        <v/>
      </c>
      <c r="V28" s="14"/>
      <c r="W28" s="14"/>
      <c r="X28" s="14"/>
      <c r="Y28" s="13" t="str">
        <f t="shared" si="6"/>
        <v/>
      </c>
      <c r="Z28" s="13" t="str">
        <f t="shared" si="7"/>
        <v/>
      </c>
      <c r="AA28" s="15"/>
      <c r="AB28" s="14"/>
      <c r="AC28" s="14"/>
      <c r="AD28" s="14"/>
      <c r="AE28" s="14"/>
    </row>
    <row r="29" ht="15.75" customHeight="1">
      <c r="A29" s="13" t="str">
        <f t="shared" si="1"/>
        <v/>
      </c>
      <c r="B29" s="14"/>
      <c r="C29" s="15"/>
      <c r="D29" s="14"/>
      <c r="E29" s="14"/>
      <c r="F29" s="14"/>
      <c r="G29" s="14"/>
      <c r="H29" s="14"/>
      <c r="I29" s="14"/>
      <c r="J29" s="13" t="str">
        <f t="shared" si="2"/>
        <v/>
      </c>
      <c r="K29" s="13" t="str">
        <f t="shared" si="3"/>
        <v/>
      </c>
      <c r="L29" s="14"/>
      <c r="M29" s="14"/>
      <c r="N29" s="14"/>
      <c r="O29" s="14"/>
      <c r="P29" s="14"/>
      <c r="Q29" s="14"/>
      <c r="R29" s="14"/>
      <c r="S29" s="13" t="str">
        <f t="shared" si="4"/>
        <v/>
      </c>
      <c r="T29" s="14"/>
      <c r="U29" s="13" t="str">
        <f t="shared" si="5"/>
        <v/>
      </c>
      <c r="V29" s="14"/>
      <c r="W29" s="14"/>
      <c r="X29" s="14"/>
      <c r="Y29" s="13" t="str">
        <f t="shared" si="6"/>
        <v/>
      </c>
      <c r="Z29" s="13" t="str">
        <f t="shared" si="7"/>
        <v/>
      </c>
      <c r="AA29" s="15"/>
      <c r="AB29" s="14"/>
      <c r="AC29" s="14"/>
      <c r="AD29" s="14"/>
      <c r="AE29" s="14"/>
    </row>
    <row r="30" ht="15.75" customHeight="1">
      <c r="A30" s="13" t="str">
        <f t="shared" si="1"/>
        <v/>
      </c>
      <c r="B30" s="14"/>
      <c r="C30" s="15"/>
      <c r="D30" s="14"/>
      <c r="E30" s="14"/>
      <c r="F30" s="14"/>
      <c r="G30" s="14"/>
      <c r="H30" s="14"/>
      <c r="I30" s="14"/>
      <c r="J30" s="13" t="str">
        <f t="shared" si="2"/>
        <v/>
      </c>
      <c r="K30" s="13" t="str">
        <f t="shared" si="3"/>
        <v/>
      </c>
      <c r="L30" s="14"/>
      <c r="M30" s="14"/>
      <c r="N30" s="14"/>
      <c r="O30" s="14"/>
      <c r="P30" s="14"/>
      <c r="Q30" s="14"/>
      <c r="R30" s="14"/>
      <c r="S30" s="13" t="str">
        <f t="shared" si="4"/>
        <v/>
      </c>
      <c r="T30" s="14"/>
      <c r="U30" s="13" t="str">
        <f t="shared" si="5"/>
        <v/>
      </c>
      <c r="V30" s="14"/>
      <c r="W30" s="14"/>
      <c r="X30" s="14"/>
      <c r="Y30" s="13" t="str">
        <f t="shared" si="6"/>
        <v/>
      </c>
      <c r="Z30" s="13" t="str">
        <f t="shared" si="7"/>
        <v/>
      </c>
      <c r="AA30" s="15"/>
      <c r="AB30" s="14"/>
      <c r="AC30" s="14"/>
      <c r="AD30" s="14"/>
      <c r="AE30" s="14"/>
    </row>
    <row r="31" ht="15.75" customHeight="1">
      <c r="A31" s="13" t="str">
        <f t="shared" si="1"/>
        <v/>
      </c>
      <c r="B31" s="14"/>
      <c r="C31" s="15"/>
      <c r="D31" s="14"/>
      <c r="E31" s="14"/>
      <c r="F31" s="14"/>
      <c r="G31" s="14"/>
      <c r="H31" s="14"/>
      <c r="I31" s="14"/>
      <c r="J31" s="13" t="str">
        <f t="shared" si="2"/>
        <v/>
      </c>
      <c r="K31" s="13" t="str">
        <f t="shared" si="3"/>
        <v/>
      </c>
      <c r="L31" s="14"/>
      <c r="M31" s="14"/>
      <c r="N31" s="14"/>
      <c r="O31" s="14"/>
      <c r="P31" s="14"/>
      <c r="Q31" s="14"/>
      <c r="R31" s="14"/>
      <c r="S31" s="13" t="str">
        <f t="shared" si="4"/>
        <v/>
      </c>
      <c r="T31" s="14"/>
      <c r="U31" s="13" t="str">
        <f t="shared" si="5"/>
        <v/>
      </c>
      <c r="V31" s="14"/>
      <c r="W31" s="14"/>
      <c r="X31" s="14"/>
      <c r="Y31" s="13" t="str">
        <f t="shared" si="6"/>
        <v/>
      </c>
      <c r="Z31" s="13" t="str">
        <f t="shared" si="7"/>
        <v/>
      </c>
      <c r="AA31" s="15"/>
      <c r="AB31" s="14"/>
      <c r="AC31" s="14"/>
      <c r="AD31" s="14"/>
      <c r="AE31" s="14"/>
    </row>
    <row r="32" ht="15.75" customHeight="1">
      <c r="A32" s="13" t="str">
        <f t="shared" si="1"/>
        <v/>
      </c>
      <c r="B32" s="14"/>
      <c r="C32" s="15"/>
      <c r="D32" s="14"/>
      <c r="E32" s="14"/>
      <c r="F32" s="14"/>
      <c r="G32" s="14"/>
      <c r="H32" s="14"/>
      <c r="I32" s="14"/>
      <c r="J32" s="13" t="str">
        <f t="shared" si="2"/>
        <v/>
      </c>
      <c r="K32" s="13" t="str">
        <f t="shared" si="3"/>
        <v/>
      </c>
      <c r="L32" s="14"/>
      <c r="M32" s="14"/>
      <c r="N32" s="14"/>
      <c r="O32" s="14"/>
      <c r="P32" s="14"/>
      <c r="Q32" s="14"/>
      <c r="R32" s="14"/>
      <c r="S32" s="13" t="str">
        <f t="shared" si="4"/>
        <v/>
      </c>
      <c r="T32" s="14"/>
      <c r="U32" s="13" t="str">
        <f t="shared" si="5"/>
        <v/>
      </c>
      <c r="V32" s="14"/>
      <c r="W32" s="14"/>
      <c r="X32" s="14"/>
      <c r="Y32" s="13" t="str">
        <f t="shared" si="6"/>
        <v/>
      </c>
      <c r="Z32" s="13" t="str">
        <f t="shared" si="7"/>
        <v/>
      </c>
      <c r="AA32" s="15"/>
      <c r="AB32" s="14"/>
      <c r="AC32" s="14"/>
      <c r="AD32" s="14"/>
      <c r="AE32" s="14"/>
    </row>
    <row r="33" ht="15.75" customHeight="1">
      <c r="A33" s="13" t="str">
        <f t="shared" si="1"/>
        <v/>
      </c>
      <c r="B33" s="14"/>
      <c r="C33" s="15"/>
      <c r="D33" s="14"/>
      <c r="E33" s="14"/>
      <c r="F33" s="14"/>
      <c r="G33" s="14"/>
      <c r="H33" s="14"/>
      <c r="I33" s="14"/>
      <c r="J33" s="13" t="str">
        <f t="shared" si="2"/>
        <v/>
      </c>
      <c r="K33" s="13" t="str">
        <f t="shared" si="3"/>
        <v/>
      </c>
      <c r="L33" s="14"/>
      <c r="M33" s="14"/>
      <c r="N33" s="14"/>
      <c r="O33" s="14"/>
      <c r="P33" s="14"/>
      <c r="Q33" s="14"/>
      <c r="R33" s="14"/>
      <c r="S33" s="13" t="str">
        <f t="shared" si="4"/>
        <v/>
      </c>
      <c r="T33" s="14"/>
      <c r="U33" s="13" t="str">
        <f t="shared" si="5"/>
        <v/>
      </c>
      <c r="V33" s="14"/>
      <c r="W33" s="14"/>
      <c r="X33" s="14"/>
      <c r="Y33" s="13" t="str">
        <f t="shared" si="6"/>
        <v/>
      </c>
      <c r="Z33" s="13" t="str">
        <f t="shared" si="7"/>
        <v/>
      </c>
      <c r="AA33" s="15"/>
      <c r="AB33" s="14"/>
      <c r="AC33" s="14"/>
      <c r="AD33" s="14"/>
      <c r="AE33" s="14"/>
    </row>
    <row r="34" ht="15.75" customHeight="1">
      <c r="A34" s="13" t="str">
        <f t="shared" si="1"/>
        <v/>
      </c>
      <c r="B34" s="14"/>
      <c r="C34" s="15"/>
      <c r="D34" s="14"/>
      <c r="E34" s="14"/>
      <c r="F34" s="14"/>
      <c r="G34" s="14"/>
      <c r="H34" s="14"/>
      <c r="I34" s="14"/>
      <c r="J34" s="13" t="str">
        <f t="shared" si="2"/>
        <v/>
      </c>
      <c r="K34" s="13" t="str">
        <f t="shared" si="3"/>
        <v/>
      </c>
      <c r="L34" s="14"/>
      <c r="M34" s="14"/>
      <c r="N34" s="14"/>
      <c r="O34" s="14"/>
      <c r="P34" s="14"/>
      <c r="Q34" s="14"/>
      <c r="R34" s="14"/>
      <c r="S34" s="13" t="str">
        <f t="shared" si="4"/>
        <v/>
      </c>
      <c r="T34" s="14"/>
      <c r="U34" s="13" t="str">
        <f t="shared" si="5"/>
        <v/>
      </c>
      <c r="V34" s="14"/>
      <c r="W34" s="14"/>
      <c r="X34" s="14"/>
      <c r="Y34" s="13" t="str">
        <f t="shared" si="6"/>
        <v/>
      </c>
      <c r="Z34" s="13" t="str">
        <f t="shared" si="7"/>
        <v/>
      </c>
      <c r="AA34" s="15"/>
      <c r="AB34" s="14"/>
      <c r="AC34" s="14"/>
      <c r="AD34" s="14"/>
      <c r="AE34" s="14"/>
    </row>
    <row r="35" ht="15.75" customHeight="1">
      <c r="A35" s="13" t="str">
        <f t="shared" si="1"/>
        <v/>
      </c>
      <c r="B35" s="14"/>
      <c r="C35" s="15"/>
      <c r="D35" s="14"/>
      <c r="E35" s="14"/>
      <c r="F35" s="14"/>
      <c r="G35" s="14"/>
      <c r="H35" s="14"/>
      <c r="I35" s="14"/>
      <c r="J35" s="13" t="str">
        <f t="shared" si="2"/>
        <v/>
      </c>
      <c r="K35" s="13" t="str">
        <f t="shared" si="3"/>
        <v/>
      </c>
      <c r="L35" s="14"/>
      <c r="M35" s="14"/>
      <c r="N35" s="14"/>
      <c r="O35" s="14"/>
      <c r="P35" s="14"/>
      <c r="Q35" s="14"/>
      <c r="R35" s="14"/>
      <c r="S35" s="13" t="str">
        <f t="shared" si="4"/>
        <v/>
      </c>
      <c r="T35" s="14"/>
      <c r="U35" s="13" t="str">
        <f t="shared" si="5"/>
        <v/>
      </c>
      <c r="V35" s="14"/>
      <c r="W35" s="14"/>
      <c r="X35" s="14"/>
      <c r="Y35" s="13" t="str">
        <f t="shared" si="6"/>
        <v/>
      </c>
      <c r="Z35" s="13" t="str">
        <f t="shared" si="7"/>
        <v/>
      </c>
      <c r="AA35" s="15"/>
      <c r="AB35" s="14"/>
      <c r="AC35" s="14"/>
      <c r="AD35" s="14"/>
      <c r="AE35" s="14"/>
    </row>
    <row r="36" ht="15.75" customHeight="1">
      <c r="A36" s="13" t="str">
        <f t="shared" si="1"/>
        <v/>
      </c>
      <c r="B36" s="14"/>
      <c r="C36" s="15"/>
      <c r="D36" s="14"/>
      <c r="E36" s="14"/>
      <c r="F36" s="14"/>
      <c r="G36" s="14"/>
      <c r="H36" s="14"/>
      <c r="I36" s="14"/>
      <c r="J36" s="13" t="str">
        <f t="shared" si="2"/>
        <v/>
      </c>
      <c r="K36" s="13" t="str">
        <f t="shared" si="3"/>
        <v/>
      </c>
      <c r="L36" s="14"/>
      <c r="M36" s="14"/>
      <c r="N36" s="14"/>
      <c r="O36" s="14"/>
      <c r="P36" s="14"/>
      <c r="Q36" s="14"/>
      <c r="R36" s="14"/>
      <c r="S36" s="13" t="str">
        <f t="shared" si="4"/>
        <v/>
      </c>
      <c r="T36" s="14"/>
      <c r="U36" s="13" t="str">
        <f t="shared" si="5"/>
        <v/>
      </c>
      <c r="V36" s="14"/>
      <c r="W36" s="14"/>
      <c r="X36" s="14"/>
      <c r="Y36" s="13" t="str">
        <f t="shared" si="6"/>
        <v/>
      </c>
      <c r="Z36" s="13" t="str">
        <f t="shared" si="7"/>
        <v/>
      </c>
      <c r="AA36" s="15"/>
      <c r="AB36" s="14"/>
      <c r="AC36" s="14"/>
      <c r="AD36" s="14"/>
      <c r="AE36" s="14"/>
    </row>
    <row r="37" ht="15.75" customHeight="1">
      <c r="A37" s="13" t="str">
        <f t="shared" si="1"/>
        <v/>
      </c>
      <c r="B37" s="14"/>
      <c r="C37" s="15"/>
      <c r="D37" s="14"/>
      <c r="E37" s="14"/>
      <c r="F37" s="14"/>
      <c r="G37" s="14"/>
      <c r="H37" s="14"/>
      <c r="I37" s="14"/>
      <c r="J37" s="13" t="str">
        <f t="shared" si="2"/>
        <v/>
      </c>
      <c r="K37" s="13" t="str">
        <f t="shared" si="3"/>
        <v/>
      </c>
      <c r="L37" s="14"/>
      <c r="M37" s="14"/>
      <c r="N37" s="14"/>
      <c r="O37" s="14"/>
      <c r="P37" s="14"/>
      <c r="Q37" s="14"/>
      <c r="R37" s="14"/>
      <c r="S37" s="13" t="str">
        <f t="shared" si="4"/>
        <v/>
      </c>
      <c r="T37" s="14"/>
      <c r="U37" s="13" t="str">
        <f t="shared" si="5"/>
        <v/>
      </c>
      <c r="V37" s="14"/>
      <c r="W37" s="14"/>
      <c r="X37" s="14"/>
      <c r="Y37" s="13" t="str">
        <f t="shared" si="6"/>
        <v/>
      </c>
      <c r="Z37" s="13" t="str">
        <f t="shared" si="7"/>
        <v/>
      </c>
      <c r="AA37" s="15"/>
      <c r="AB37" s="14"/>
      <c r="AC37" s="14"/>
      <c r="AD37" s="14"/>
      <c r="AE37" s="14"/>
    </row>
    <row r="38" ht="15.75" customHeight="1">
      <c r="A38" s="13" t="str">
        <f t="shared" si="1"/>
        <v/>
      </c>
      <c r="B38" s="14"/>
      <c r="C38" s="15"/>
      <c r="D38" s="14"/>
      <c r="E38" s="14"/>
      <c r="F38" s="14"/>
      <c r="G38" s="14"/>
      <c r="H38" s="14"/>
      <c r="I38" s="14"/>
      <c r="J38" s="13" t="str">
        <f t="shared" si="2"/>
        <v/>
      </c>
      <c r="K38" s="13" t="str">
        <f t="shared" si="3"/>
        <v/>
      </c>
      <c r="L38" s="14"/>
      <c r="M38" s="14"/>
      <c r="N38" s="14"/>
      <c r="O38" s="14"/>
      <c r="P38" s="14"/>
      <c r="Q38" s="14"/>
      <c r="R38" s="14"/>
      <c r="S38" s="13" t="str">
        <f t="shared" si="4"/>
        <v/>
      </c>
      <c r="T38" s="14"/>
      <c r="U38" s="13" t="str">
        <f t="shared" si="5"/>
        <v/>
      </c>
      <c r="V38" s="14"/>
      <c r="W38" s="14"/>
      <c r="X38" s="14"/>
      <c r="Y38" s="13" t="str">
        <f t="shared" si="6"/>
        <v/>
      </c>
      <c r="Z38" s="13" t="str">
        <f t="shared" si="7"/>
        <v/>
      </c>
      <c r="AA38" s="15"/>
      <c r="AB38" s="14"/>
      <c r="AC38" s="14"/>
      <c r="AD38" s="14"/>
      <c r="AE38" s="14"/>
    </row>
    <row r="39" ht="15.75" customHeight="1">
      <c r="A39" s="13" t="str">
        <f t="shared" si="1"/>
        <v/>
      </c>
      <c r="B39" s="14"/>
      <c r="C39" s="15"/>
      <c r="D39" s="14"/>
      <c r="E39" s="14"/>
      <c r="F39" s="14"/>
      <c r="G39" s="14"/>
      <c r="H39" s="14"/>
      <c r="I39" s="14"/>
      <c r="J39" s="13" t="str">
        <f t="shared" si="2"/>
        <v/>
      </c>
      <c r="K39" s="13" t="str">
        <f t="shared" si="3"/>
        <v/>
      </c>
      <c r="L39" s="14"/>
      <c r="M39" s="14"/>
      <c r="N39" s="14"/>
      <c r="O39" s="14"/>
      <c r="P39" s="14"/>
      <c r="Q39" s="14"/>
      <c r="R39" s="14"/>
      <c r="S39" s="13" t="str">
        <f t="shared" si="4"/>
        <v/>
      </c>
      <c r="T39" s="14"/>
      <c r="U39" s="13" t="str">
        <f t="shared" si="5"/>
        <v/>
      </c>
      <c r="V39" s="14"/>
      <c r="W39" s="14"/>
      <c r="X39" s="14"/>
      <c r="Y39" s="13" t="str">
        <f t="shared" si="6"/>
        <v/>
      </c>
      <c r="Z39" s="13" t="str">
        <f t="shared" si="7"/>
        <v/>
      </c>
      <c r="AA39" s="15"/>
      <c r="AB39" s="14"/>
      <c r="AC39" s="14"/>
      <c r="AD39" s="14"/>
      <c r="AE39" s="14"/>
    </row>
    <row r="40" ht="15.75" customHeight="1">
      <c r="A40" s="13" t="str">
        <f t="shared" si="1"/>
        <v/>
      </c>
      <c r="B40" s="14"/>
      <c r="C40" s="15"/>
      <c r="D40" s="14"/>
      <c r="E40" s="14"/>
      <c r="F40" s="14"/>
      <c r="G40" s="14"/>
      <c r="H40" s="14"/>
      <c r="I40" s="14"/>
      <c r="J40" s="13" t="str">
        <f t="shared" si="2"/>
        <v/>
      </c>
      <c r="K40" s="13" t="str">
        <f t="shared" si="3"/>
        <v/>
      </c>
      <c r="L40" s="14"/>
      <c r="M40" s="14"/>
      <c r="N40" s="14"/>
      <c r="O40" s="14"/>
      <c r="P40" s="14"/>
      <c r="Q40" s="14"/>
      <c r="R40" s="14"/>
      <c r="S40" s="13" t="str">
        <f t="shared" si="4"/>
        <v/>
      </c>
      <c r="T40" s="14"/>
      <c r="U40" s="13" t="str">
        <f t="shared" si="5"/>
        <v/>
      </c>
      <c r="V40" s="14"/>
      <c r="W40" s="14"/>
      <c r="X40" s="14"/>
      <c r="Y40" s="13" t="str">
        <f t="shared" si="6"/>
        <v/>
      </c>
      <c r="Z40" s="13" t="str">
        <f t="shared" si="7"/>
        <v/>
      </c>
      <c r="AA40" s="15"/>
      <c r="AB40" s="14"/>
      <c r="AC40" s="14"/>
      <c r="AD40" s="14"/>
      <c r="AE40" s="14"/>
    </row>
    <row r="41" ht="15.75" customHeight="1">
      <c r="A41" s="13" t="str">
        <f t="shared" si="1"/>
        <v/>
      </c>
      <c r="B41" s="14"/>
      <c r="C41" s="15"/>
      <c r="D41" s="14"/>
      <c r="E41" s="14"/>
      <c r="F41" s="14"/>
      <c r="G41" s="14"/>
      <c r="H41" s="14"/>
      <c r="I41" s="14"/>
      <c r="J41" s="13" t="str">
        <f t="shared" si="2"/>
        <v/>
      </c>
      <c r="K41" s="13" t="str">
        <f t="shared" si="3"/>
        <v/>
      </c>
      <c r="L41" s="14"/>
      <c r="M41" s="14"/>
      <c r="N41" s="14"/>
      <c r="O41" s="14"/>
      <c r="P41" s="14"/>
      <c r="Q41" s="14"/>
      <c r="R41" s="14"/>
      <c r="S41" s="13" t="str">
        <f t="shared" si="4"/>
        <v/>
      </c>
      <c r="T41" s="14"/>
      <c r="U41" s="13" t="str">
        <f t="shared" si="5"/>
        <v/>
      </c>
      <c r="V41" s="14"/>
      <c r="W41" s="14"/>
      <c r="X41" s="14"/>
      <c r="Y41" s="13" t="str">
        <f t="shared" si="6"/>
        <v/>
      </c>
      <c r="Z41" s="13" t="str">
        <f t="shared" si="7"/>
        <v/>
      </c>
      <c r="AA41" s="15"/>
      <c r="AB41" s="14"/>
      <c r="AC41" s="14"/>
      <c r="AD41" s="14"/>
      <c r="AE41" s="14"/>
    </row>
    <row r="42" ht="15.75" customHeight="1">
      <c r="A42" s="13" t="str">
        <f t="shared" si="1"/>
        <v/>
      </c>
      <c r="B42" s="14"/>
      <c r="C42" s="15"/>
      <c r="D42" s="14"/>
      <c r="E42" s="14"/>
      <c r="F42" s="14"/>
      <c r="G42" s="14"/>
      <c r="H42" s="14"/>
      <c r="I42" s="14"/>
      <c r="J42" s="13" t="str">
        <f t="shared" si="2"/>
        <v/>
      </c>
      <c r="K42" s="13" t="str">
        <f t="shared" si="3"/>
        <v/>
      </c>
      <c r="L42" s="14"/>
      <c r="M42" s="14"/>
      <c r="N42" s="14"/>
      <c r="O42" s="14"/>
      <c r="P42" s="14"/>
      <c r="Q42" s="14"/>
      <c r="R42" s="14"/>
      <c r="S42" s="13" t="str">
        <f t="shared" si="4"/>
        <v/>
      </c>
      <c r="T42" s="14"/>
      <c r="U42" s="13" t="str">
        <f t="shared" si="5"/>
        <v/>
      </c>
      <c r="V42" s="14"/>
      <c r="W42" s="14"/>
      <c r="X42" s="14"/>
      <c r="Y42" s="13" t="str">
        <f t="shared" si="6"/>
        <v/>
      </c>
      <c r="Z42" s="13" t="str">
        <f t="shared" si="7"/>
        <v/>
      </c>
      <c r="AA42" s="15"/>
      <c r="AB42" s="14"/>
      <c r="AC42" s="14"/>
      <c r="AD42" s="14"/>
      <c r="AE42" s="14"/>
    </row>
    <row r="43" ht="15.75" customHeight="1">
      <c r="A43" s="13" t="str">
        <f t="shared" si="1"/>
        <v/>
      </c>
      <c r="B43" s="14"/>
      <c r="C43" s="15"/>
      <c r="D43" s="14"/>
      <c r="E43" s="14"/>
      <c r="F43" s="14"/>
      <c r="G43" s="14"/>
      <c r="H43" s="14"/>
      <c r="I43" s="14"/>
      <c r="J43" s="13" t="str">
        <f t="shared" si="2"/>
        <v/>
      </c>
      <c r="K43" s="13" t="str">
        <f t="shared" si="3"/>
        <v/>
      </c>
      <c r="L43" s="14"/>
      <c r="M43" s="14"/>
      <c r="N43" s="14"/>
      <c r="O43" s="14"/>
      <c r="P43" s="14"/>
      <c r="Q43" s="14"/>
      <c r="R43" s="14"/>
      <c r="S43" s="13" t="str">
        <f t="shared" si="4"/>
        <v/>
      </c>
      <c r="T43" s="14"/>
      <c r="U43" s="13" t="str">
        <f t="shared" si="5"/>
        <v/>
      </c>
      <c r="V43" s="14"/>
      <c r="W43" s="14"/>
      <c r="X43" s="14"/>
      <c r="Y43" s="13" t="str">
        <f t="shared" si="6"/>
        <v/>
      </c>
      <c r="Z43" s="13" t="str">
        <f t="shared" si="7"/>
        <v/>
      </c>
      <c r="AA43" s="15"/>
      <c r="AB43" s="14"/>
      <c r="AC43" s="14"/>
      <c r="AD43" s="14"/>
      <c r="AE43" s="14"/>
    </row>
    <row r="44" ht="15.75" customHeight="1">
      <c r="A44" s="13" t="str">
        <f t="shared" si="1"/>
        <v/>
      </c>
      <c r="B44" s="14"/>
      <c r="C44" s="15"/>
      <c r="D44" s="14"/>
      <c r="E44" s="14"/>
      <c r="F44" s="14"/>
      <c r="G44" s="14"/>
      <c r="H44" s="14"/>
      <c r="I44" s="14"/>
      <c r="J44" s="13" t="str">
        <f t="shared" si="2"/>
        <v/>
      </c>
      <c r="K44" s="13" t="str">
        <f t="shared" si="3"/>
        <v/>
      </c>
      <c r="L44" s="14"/>
      <c r="M44" s="14"/>
      <c r="N44" s="14"/>
      <c r="O44" s="14"/>
      <c r="P44" s="14"/>
      <c r="Q44" s="14"/>
      <c r="R44" s="14"/>
      <c r="S44" s="13" t="str">
        <f t="shared" si="4"/>
        <v/>
      </c>
      <c r="T44" s="14"/>
      <c r="U44" s="13" t="str">
        <f t="shared" si="5"/>
        <v/>
      </c>
      <c r="V44" s="14"/>
      <c r="W44" s="14"/>
      <c r="X44" s="14"/>
      <c r="Y44" s="13" t="str">
        <f t="shared" si="6"/>
        <v/>
      </c>
      <c r="Z44" s="13" t="str">
        <f t="shared" si="7"/>
        <v/>
      </c>
      <c r="AA44" s="15"/>
      <c r="AB44" s="14"/>
      <c r="AC44" s="14"/>
      <c r="AD44" s="14"/>
      <c r="AE44" s="14"/>
    </row>
    <row r="45" ht="15.75" customHeight="1">
      <c r="A45" s="13" t="str">
        <f t="shared" si="1"/>
        <v/>
      </c>
      <c r="B45" s="14"/>
      <c r="C45" s="15"/>
      <c r="D45" s="14"/>
      <c r="E45" s="14"/>
      <c r="F45" s="14"/>
      <c r="G45" s="14"/>
      <c r="H45" s="14"/>
      <c r="I45" s="14"/>
      <c r="J45" s="13" t="str">
        <f t="shared" si="2"/>
        <v/>
      </c>
      <c r="K45" s="13" t="str">
        <f t="shared" si="3"/>
        <v/>
      </c>
      <c r="L45" s="14"/>
      <c r="M45" s="14"/>
      <c r="N45" s="14"/>
      <c r="O45" s="14"/>
      <c r="P45" s="14"/>
      <c r="Q45" s="14"/>
      <c r="R45" s="14"/>
      <c r="S45" s="13" t="str">
        <f t="shared" si="4"/>
        <v/>
      </c>
      <c r="T45" s="14"/>
      <c r="U45" s="13" t="str">
        <f t="shared" si="5"/>
        <v/>
      </c>
      <c r="V45" s="14"/>
      <c r="W45" s="14"/>
      <c r="X45" s="14"/>
      <c r="Y45" s="13" t="str">
        <f t="shared" si="6"/>
        <v/>
      </c>
      <c r="Z45" s="13" t="str">
        <f t="shared" si="7"/>
        <v/>
      </c>
      <c r="AA45" s="15"/>
      <c r="AB45" s="14"/>
      <c r="AC45" s="14"/>
      <c r="AD45" s="14"/>
      <c r="AE45" s="14"/>
    </row>
    <row r="46" ht="15.75" customHeight="1">
      <c r="A46" s="13" t="str">
        <f t="shared" si="1"/>
        <v/>
      </c>
      <c r="B46" s="14"/>
      <c r="C46" s="15"/>
      <c r="D46" s="14"/>
      <c r="E46" s="14"/>
      <c r="F46" s="14"/>
      <c r="G46" s="14"/>
      <c r="H46" s="14"/>
      <c r="I46" s="14"/>
      <c r="J46" s="13" t="str">
        <f t="shared" si="2"/>
        <v/>
      </c>
      <c r="K46" s="13" t="str">
        <f t="shared" si="3"/>
        <v/>
      </c>
      <c r="L46" s="14"/>
      <c r="M46" s="14"/>
      <c r="N46" s="14"/>
      <c r="O46" s="14"/>
      <c r="P46" s="14"/>
      <c r="Q46" s="14"/>
      <c r="R46" s="14"/>
      <c r="S46" s="13" t="str">
        <f t="shared" si="4"/>
        <v/>
      </c>
      <c r="T46" s="14"/>
      <c r="U46" s="13" t="str">
        <f t="shared" si="5"/>
        <v/>
      </c>
      <c r="V46" s="14"/>
      <c r="W46" s="14"/>
      <c r="X46" s="14"/>
      <c r="Y46" s="13" t="str">
        <f t="shared" si="6"/>
        <v/>
      </c>
      <c r="Z46" s="13" t="str">
        <f t="shared" si="7"/>
        <v/>
      </c>
      <c r="AA46" s="15"/>
      <c r="AB46" s="14"/>
      <c r="AC46" s="14"/>
      <c r="AD46" s="14"/>
      <c r="AE46" s="14"/>
    </row>
    <row r="47" ht="15.75" customHeight="1">
      <c r="A47" s="13" t="str">
        <f t="shared" si="1"/>
        <v/>
      </c>
      <c r="B47" s="14"/>
      <c r="C47" s="15"/>
      <c r="D47" s="14"/>
      <c r="E47" s="14"/>
      <c r="F47" s="14"/>
      <c r="G47" s="14"/>
      <c r="H47" s="14"/>
      <c r="I47" s="14"/>
      <c r="J47" s="13" t="str">
        <f t="shared" si="2"/>
        <v/>
      </c>
      <c r="K47" s="13" t="str">
        <f t="shared" si="3"/>
        <v/>
      </c>
      <c r="L47" s="14"/>
      <c r="M47" s="14"/>
      <c r="N47" s="14"/>
      <c r="O47" s="14"/>
      <c r="P47" s="14"/>
      <c r="Q47" s="14"/>
      <c r="R47" s="14"/>
      <c r="S47" s="13" t="str">
        <f t="shared" si="4"/>
        <v/>
      </c>
      <c r="T47" s="14"/>
      <c r="U47" s="13" t="str">
        <f t="shared" si="5"/>
        <v/>
      </c>
      <c r="V47" s="14"/>
      <c r="W47" s="14"/>
      <c r="X47" s="14"/>
      <c r="Y47" s="13" t="str">
        <f t="shared" si="6"/>
        <v/>
      </c>
      <c r="Z47" s="13" t="str">
        <f t="shared" si="7"/>
        <v/>
      </c>
      <c r="AA47" s="15"/>
      <c r="AB47" s="14"/>
      <c r="AC47" s="14"/>
      <c r="AD47" s="14"/>
      <c r="AE47" s="14"/>
    </row>
    <row r="48" ht="15.75" customHeight="1">
      <c r="A48" s="13" t="str">
        <f t="shared" si="1"/>
        <v/>
      </c>
      <c r="B48" s="14"/>
      <c r="C48" s="15"/>
      <c r="D48" s="14"/>
      <c r="E48" s="14"/>
      <c r="F48" s="14"/>
      <c r="G48" s="14"/>
      <c r="H48" s="14"/>
      <c r="I48" s="14"/>
      <c r="J48" s="13" t="str">
        <f t="shared" si="2"/>
        <v/>
      </c>
      <c r="K48" s="13" t="str">
        <f t="shared" si="3"/>
        <v/>
      </c>
      <c r="L48" s="14"/>
      <c r="M48" s="14"/>
      <c r="N48" s="14"/>
      <c r="O48" s="14"/>
      <c r="P48" s="14"/>
      <c r="Q48" s="14"/>
      <c r="R48" s="14"/>
      <c r="S48" s="13" t="str">
        <f t="shared" si="4"/>
        <v/>
      </c>
      <c r="T48" s="14"/>
      <c r="U48" s="13" t="str">
        <f t="shared" si="5"/>
        <v/>
      </c>
      <c r="V48" s="14"/>
      <c r="W48" s="14"/>
      <c r="X48" s="14"/>
      <c r="Y48" s="13" t="str">
        <f t="shared" si="6"/>
        <v/>
      </c>
      <c r="Z48" s="13" t="str">
        <f t="shared" si="7"/>
        <v/>
      </c>
      <c r="AA48" s="15"/>
      <c r="AB48" s="14"/>
      <c r="AC48" s="14"/>
      <c r="AD48" s="14"/>
      <c r="AE48" s="14"/>
    </row>
    <row r="49" ht="15.75" customHeight="1">
      <c r="A49" s="13" t="str">
        <f t="shared" si="1"/>
        <v/>
      </c>
      <c r="B49" s="14"/>
      <c r="C49" s="15"/>
      <c r="D49" s="14"/>
      <c r="E49" s="14"/>
      <c r="F49" s="14"/>
      <c r="G49" s="14"/>
      <c r="H49" s="14"/>
      <c r="I49" s="14"/>
      <c r="J49" s="13" t="str">
        <f t="shared" si="2"/>
        <v/>
      </c>
      <c r="K49" s="13" t="str">
        <f t="shared" si="3"/>
        <v/>
      </c>
      <c r="L49" s="14"/>
      <c r="M49" s="14"/>
      <c r="N49" s="14"/>
      <c r="O49" s="14"/>
      <c r="P49" s="14"/>
      <c r="Q49" s="14"/>
      <c r="R49" s="14"/>
      <c r="S49" s="13" t="str">
        <f t="shared" si="4"/>
        <v/>
      </c>
      <c r="T49" s="14"/>
      <c r="U49" s="13" t="str">
        <f t="shared" si="5"/>
        <v/>
      </c>
      <c r="V49" s="14"/>
      <c r="W49" s="14"/>
      <c r="X49" s="14"/>
      <c r="Y49" s="13" t="str">
        <f t="shared" si="6"/>
        <v/>
      </c>
      <c r="Z49" s="13" t="str">
        <f t="shared" si="7"/>
        <v/>
      </c>
      <c r="AA49" s="15"/>
      <c r="AB49" s="14"/>
      <c r="AC49" s="14"/>
      <c r="AD49" s="14"/>
      <c r="AE49" s="14"/>
    </row>
    <row r="50" ht="15.75" customHeight="1">
      <c r="A50" s="13" t="str">
        <f t="shared" si="1"/>
        <v/>
      </c>
      <c r="B50" s="14"/>
      <c r="C50" s="15"/>
      <c r="D50" s="14"/>
      <c r="E50" s="14"/>
      <c r="F50" s="14"/>
      <c r="G50" s="14"/>
      <c r="H50" s="14"/>
      <c r="I50" s="14"/>
      <c r="J50" s="13" t="str">
        <f t="shared" si="2"/>
        <v/>
      </c>
      <c r="K50" s="13" t="str">
        <f t="shared" si="3"/>
        <v/>
      </c>
      <c r="L50" s="14"/>
      <c r="M50" s="14"/>
      <c r="N50" s="14"/>
      <c r="O50" s="14"/>
      <c r="P50" s="14"/>
      <c r="Q50" s="14"/>
      <c r="R50" s="14"/>
      <c r="S50" s="13" t="str">
        <f t="shared" si="4"/>
        <v/>
      </c>
      <c r="T50" s="14"/>
      <c r="U50" s="13" t="str">
        <f t="shared" si="5"/>
        <v/>
      </c>
      <c r="V50" s="14"/>
      <c r="W50" s="14"/>
      <c r="X50" s="14"/>
      <c r="Y50" s="13" t="str">
        <f t="shared" si="6"/>
        <v/>
      </c>
      <c r="Z50" s="13" t="str">
        <f t="shared" si="7"/>
        <v/>
      </c>
      <c r="AA50" s="15"/>
      <c r="AB50" s="14"/>
      <c r="AC50" s="14"/>
      <c r="AD50" s="14"/>
      <c r="AE50" s="14"/>
    </row>
    <row r="51" ht="15.75" customHeight="1">
      <c r="A51" s="13" t="str">
        <f t="shared" si="1"/>
        <v/>
      </c>
      <c r="B51" s="14"/>
      <c r="C51" s="15"/>
      <c r="D51" s="14"/>
      <c r="E51" s="14"/>
      <c r="F51" s="14"/>
      <c r="G51" s="14"/>
      <c r="H51" s="14"/>
      <c r="I51" s="14"/>
      <c r="J51" s="13" t="str">
        <f t="shared" si="2"/>
        <v/>
      </c>
      <c r="K51" s="13" t="str">
        <f t="shared" si="3"/>
        <v/>
      </c>
      <c r="L51" s="14"/>
      <c r="M51" s="14"/>
      <c r="N51" s="14"/>
      <c r="O51" s="14"/>
      <c r="P51" s="14"/>
      <c r="Q51" s="14"/>
      <c r="R51" s="14"/>
      <c r="S51" s="13" t="str">
        <f t="shared" si="4"/>
        <v/>
      </c>
      <c r="T51" s="14"/>
      <c r="U51" s="13" t="str">
        <f t="shared" si="5"/>
        <v/>
      </c>
      <c r="V51" s="14"/>
      <c r="W51" s="14"/>
      <c r="X51" s="14"/>
      <c r="Y51" s="13" t="str">
        <f t="shared" si="6"/>
        <v/>
      </c>
      <c r="Z51" s="13" t="str">
        <f t="shared" si="7"/>
        <v/>
      </c>
      <c r="AA51" s="15"/>
      <c r="AB51" s="14"/>
      <c r="AC51" s="14"/>
      <c r="AD51" s="14"/>
      <c r="AE51" s="14"/>
    </row>
    <row r="52" ht="15.75" customHeight="1">
      <c r="A52" s="13" t="str">
        <f t="shared" si="1"/>
        <v/>
      </c>
      <c r="B52" s="14"/>
      <c r="C52" s="15"/>
      <c r="D52" s="14"/>
      <c r="E52" s="14"/>
      <c r="F52" s="14"/>
      <c r="G52" s="14"/>
      <c r="H52" s="14"/>
      <c r="I52" s="14"/>
      <c r="J52" s="13" t="str">
        <f t="shared" si="2"/>
        <v/>
      </c>
      <c r="K52" s="13" t="str">
        <f t="shared" si="3"/>
        <v/>
      </c>
      <c r="L52" s="14"/>
      <c r="M52" s="14"/>
      <c r="N52" s="14"/>
      <c r="O52" s="14"/>
      <c r="P52" s="14"/>
      <c r="Q52" s="14"/>
      <c r="R52" s="14"/>
      <c r="S52" s="13" t="str">
        <f t="shared" si="4"/>
        <v/>
      </c>
      <c r="T52" s="14"/>
      <c r="U52" s="13" t="str">
        <f t="shared" si="5"/>
        <v/>
      </c>
      <c r="V52" s="14"/>
      <c r="W52" s="14"/>
      <c r="X52" s="14"/>
      <c r="Y52" s="13" t="str">
        <f t="shared" si="6"/>
        <v/>
      </c>
      <c r="Z52" s="13" t="str">
        <f t="shared" si="7"/>
        <v/>
      </c>
      <c r="AA52" s="15"/>
      <c r="AB52" s="14"/>
      <c r="AC52" s="14"/>
      <c r="AD52" s="14"/>
      <c r="AE52" s="14"/>
    </row>
    <row r="53" ht="15.75" customHeight="1">
      <c r="A53" s="13" t="str">
        <f t="shared" si="1"/>
        <v/>
      </c>
      <c r="B53" s="14"/>
      <c r="C53" s="15"/>
      <c r="D53" s="14"/>
      <c r="E53" s="14"/>
      <c r="F53" s="14"/>
      <c r="G53" s="14"/>
      <c r="H53" s="14"/>
      <c r="I53" s="14"/>
      <c r="J53" s="13" t="str">
        <f t="shared" si="2"/>
        <v/>
      </c>
      <c r="K53" s="13" t="str">
        <f t="shared" si="3"/>
        <v/>
      </c>
      <c r="L53" s="14"/>
      <c r="M53" s="14"/>
      <c r="N53" s="14"/>
      <c r="O53" s="14"/>
      <c r="P53" s="14"/>
      <c r="Q53" s="14"/>
      <c r="R53" s="14"/>
      <c r="S53" s="13" t="str">
        <f t="shared" si="4"/>
        <v/>
      </c>
      <c r="T53" s="14"/>
      <c r="U53" s="13" t="str">
        <f t="shared" si="5"/>
        <v/>
      </c>
      <c r="V53" s="14"/>
      <c r="W53" s="14"/>
      <c r="X53" s="14"/>
      <c r="Y53" s="13" t="str">
        <f t="shared" si="6"/>
        <v/>
      </c>
      <c r="Z53" s="13" t="str">
        <f t="shared" si="7"/>
        <v/>
      </c>
      <c r="AA53" s="15"/>
      <c r="AB53" s="14"/>
      <c r="AC53" s="14"/>
      <c r="AD53" s="14"/>
      <c r="AE53" s="14"/>
    </row>
    <row r="54" ht="15.75" customHeight="1">
      <c r="A54" s="13" t="str">
        <f t="shared" si="1"/>
        <v/>
      </c>
      <c r="B54" s="14"/>
      <c r="C54" s="15"/>
      <c r="D54" s="14"/>
      <c r="E54" s="14"/>
      <c r="F54" s="14"/>
      <c r="G54" s="14"/>
      <c r="H54" s="14"/>
      <c r="I54" s="14"/>
      <c r="J54" s="13" t="str">
        <f t="shared" si="2"/>
        <v/>
      </c>
      <c r="K54" s="13" t="str">
        <f t="shared" si="3"/>
        <v/>
      </c>
      <c r="L54" s="14"/>
      <c r="M54" s="14"/>
      <c r="N54" s="14"/>
      <c r="O54" s="14"/>
      <c r="P54" s="14"/>
      <c r="Q54" s="14"/>
      <c r="R54" s="14"/>
      <c r="S54" s="13" t="str">
        <f t="shared" si="4"/>
        <v/>
      </c>
      <c r="T54" s="14"/>
      <c r="U54" s="13" t="str">
        <f t="shared" si="5"/>
        <v/>
      </c>
      <c r="V54" s="14"/>
      <c r="W54" s="14"/>
      <c r="X54" s="14"/>
      <c r="Y54" s="13" t="str">
        <f t="shared" si="6"/>
        <v/>
      </c>
      <c r="Z54" s="13" t="str">
        <f t="shared" si="7"/>
        <v/>
      </c>
      <c r="AA54" s="15"/>
      <c r="AB54" s="14"/>
      <c r="AC54" s="14"/>
      <c r="AD54" s="14"/>
      <c r="AE54" s="14"/>
    </row>
    <row r="55" ht="15.75" customHeight="1">
      <c r="A55" s="13" t="str">
        <f t="shared" si="1"/>
        <v/>
      </c>
      <c r="B55" s="14"/>
      <c r="C55" s="15"/>
      <c r="D55" s="14"/>
      <c r="E55" s="14"/>
      <c r="F55" s="14"/>
      <c r="G55" s="14"/>
      <c r="H55" s="14"/>
      <c r="I55" s="14"/>
      <c r="J55" s="13" t="str">
        <f t="shared" si="2"/>
        <v/>
      </c>
      <c r="K55" s="13" t="str">
        <f t="shared" si="3"/>
        <v/>
      </c>
      <c r="L55" s="14"/>
      <c r="M55" s="14"/>
      <c r="N55" s="14"/>
      <c r="O55" s="14"/>
      <c r="P55" s="14"/>
      <c r="Q55" s="14"/>
      <c r="R55" s="14"/>
      <c r="S55" s="13" t="str">
        <f t="shared" si="4"/>
        <v/>
      </c>
      <c r="T55" s="14"/>
      <c r="U55" s="13" t="str">
        <f t="shared" si="5"/>
        <v/>
      </c>
      <c r="V55" s="14"/>
      <c r="W55" s="14"/>
      <c r="X55" s="14"/>
      <c r="Y55" s="13" t="str">
        <f t="shared" si="6"/>
        <v/>
      </c>
      <c r="Z55" s="13" t="str">
        <f t="shared" si="7"/>
        <v/>
      </c>
      <c r="AA55" s="15"/>
      <c r="AB55" s="14"/>
      <c r="AC55" s="14"/>
      <c r="AD55" s="14"/>
      <c r="AE55" s="14"/>
    </row>
    <row r="56" ht="15.75" customHeight="1">
      <c r="A56" s="13" t="str">
        <f t="shared" si="1"/>
        <v/>
      </c>
      <c r="B56" s="14"/>
      <c r="C56" s="15"/>
      <c r="D56" s="14"/>
      <c r="E56" s="14"/>
      <c r="F56" s="14"/>
      <c r="G56" s="14"/>
      <c r="H56" s="14"/>
      <c r="I56" s="14"/>
      <c r="J56" s="13" t="str">
        <f t="shared" si="2"/>
        <v/>
      </c>
      <c r="K56" s="13" t="str">
        <f t="shared" si="3"/>
        <v/>
      </c>
      <c r="L56" s="14"/>
      <c r="M56" s="14"/>
      <c r="N56" s="14"/>
      <c r="O56" s="14"/>
      <c r="P56" s="14"/>
      <c r="Q56" s="14"/>
      <c r="R56" s="14"/>
      <c r="S56" s="13" t="str">
        <f t="shared" si="4"/>
        <v/>
      </c>
      <c r="T56" s="14"/>
      <c r="U56" s="13" t="str">
        <f t="shared" si="5"/>
        <v/>
      </c>
      <c r="V56" s="14"/>
      <c r="W56" s="14"/>
      <c r="X56" s="14"/>
      <c r="Y56" s="13" t="str">
        <f t="shared" si="6"/>
        <v/>
      </c>
      <c r="Z56" s="13" t="str">
        <f t="shared" si="7"/>
        <v/>
      </c>
      <c r="AA56" s="15"/>
      <c r="AB56" s="14"/>
      <c r="AC56" s="14"/>
      <c r="AD56" s="14"/>
      <c r="AE56" s="14"/>
    </row>
    <row r="57" ht="15.75" customHeight="1">
      <c r="A57" s="13" t="str">
        <f t="shared" si="1"/>
        <v/>
      </c>
      <c r="B57" s="14"/>
      <c r="C57" s="15"/>
      <c r="D57" s="14"/>
      <c r="E57" s="14"/>
      <c r="F57" s="14"/>
      <c r="G57" s="14"/>
      <c r="H57" s="14"/>
      <c r="I57" s="14"/>
      <c r="J57" s="13" t="str">
        <f t="shared" si="2"/>
        <v/>
      </c>
      <c r="K57" s="13" t="str">
        <f t="shared" si="3"/>
        <v/>
      </c>
      <c r="L57" s="14"/>
      <c r="M57" s="14"/>
      <c r="N57" s="14"/>
      <c r="O57" s="14"/>
      <c r="P57" s="14"/>
      <c r="Q57" s="14"/>
      <c r="R57" s="14"/>
      <c r="S57" s="13" t="str">
        <f t="shared" si="4"/>
        <v/>
      </c>
      <c r="T57" s="14"/>
      <c r="U57" s="13" t="str">
        <f t="shared" si="5"/>
        <v/>
      </c>
      <c r="V57" s="14"/>
      <c r="W57" s="14"/>
      <c r="X57" s="14"/>
      <c r="Y57" s="13" t="str">
        <f t="shared" si="6"/>
        <v/>
      </c>
      <c r="Z57" s="13" t="str">
        <f t="shared" si="7"/>
        <v/>
      </c>
      <c r="AA57" s="15"/>
      <c r="AB57" s="14"/>
      <c r="AC57" s="14"/>
      <c r="AD57" s="14"/>
      <c r="AE57" s="14"/>
    </row>
    <row r="58" ht="15.75" customHeight="1">
      <c r="A58" s="13" t="str">
        <f t="shared" si="1"/>
        <v/>
      </c>
      <c r="B58" s="14"/>
      <c r="C58" s="15"/>
      <c r="D58" s="14"/>
      <c r="E58" s="14"/>
      <c r="F58" s="14"/>
      <c r="G58" s="14"/>
      <c r="H58" s="14"/>
      <c r="I58" s="14"/>
      <c r="J58" s="13" t="str">
        <f t="shared" si="2"/>
        <v/>
      </c>
      <c r="K58" s="13" t="str">
        <f t="shared" si="3"/>
        <v/>
      </c>
      <c r="L58" s="14"/>
      <c r="M58" s="14"/>
      <c r="N58" s="14"/>
      <c r="O58" s="14"/>
      <c r="P58" s="14"/>
      <c r="Q58" s="14"/>
      <c r="R58" s="14"/>
      <c r="S58" s="13" t="str">
        <f t="shared" si="4"/>
        <v/>
      </c>
      <c r="T58" s="14"/>
      <c r="U58" s="13" t="str">
        <f t="shared" si="5"/>
        <v/>
      </c>
      <c r="V58" s="14"/>
      <c r="W58" s="14"/>
      <c r="X58" s="14"/>
      <c r="Y58" s="13" t="str">
        <f t="shared" si="6"/>
        <v/>
      </c>
      <c r="Z58" s="13" t="str">
        <f t="shared" si="7"/>
        <v/>
      </c>
      <c r="AA58" s="15"/>
      <c r="AB58" s="14"/>
      <c r="AC58" s="14"/>
      <c r="AD58" s="14"/>
      <c r="AE58" s="14"/>
    </row>
    <row r="59" ht="15.75" customHeight="1">
      <c r="A59" s="13" t="str">
        <f t="shared" si="1"/>
        <v/>
      </c>
      <c r="B59" s="14"/>
      <c r="C59" s="15"/>
      <c r="D59" s="14"/>
      <c r="E59" s="14"/>
      <c r="F59" s="14"/>
      <c r="G59" s="14"/>
      <c r="H59" s="14"/>
      <c r="I59" s="14"/>
      <c r="J59" s="13" t="str">
        <f t="shared" si="2"/>
        <v/>
      </c>
      <c r="K59" s="13" t="str">
        <f t="shared" si="3"/>
        <v/>
      </c>
      <c r="L59" s="14"/>
      <c r="M59" s="14"/>
      <c r="N59" s="14"/>
      <c r="O59" s="14"/>
      <c r="P59" s="14"/>
      <c r="Q59" s="14"/>
      <c r="R59" s="14"/>
      <c r="S59" s="13" t="str">
        <f t="shared" si="4"/>
        <v/>
      </c>
      <c r="T59" s="14"/>
      <c r="U59" s="13" t="str">
        <f t="shared" si="5"/>
        <v/>
      </c>
      <c r="V59" s="14"/>
      <c r="W59" s="14"/>
      <c r="X59" s="14"/>
      <c r="Y59" s="13" t="str">
        <f t="shared" si="6"/>
        <v/>
      </c>
      <c r="Z59" s="13" t="str">
        <f t="shared" si="7"/>
        <v/>
      </c>
      <c r="AA59" s="15"/>
      <c r="AB59" s="14"/>
      <c r="AC59" s="14"/>
      <c r="AD59" s="14"/>
      <c r="AE59" s="14"/>
    </row>
    <row r="60" ht="15.75" customHeight="1">
      <c r="A60" s="13" t="str">
        <f t="shared" si="1"/>
        <v/>
      </c>
      <c r="B60" s="14"/>
      <c r="C60" s="15"/>
      <c r="D60" s="14"/>
      <c r="E60" s="14"/>
      <c r="F60" s="14"/>
      <c r="G60" s="14"/>
      <c r="H60" s="14"/>
      <c r="I60" s="14"/>
      <c r="J60" s="13" t="str">
        <f t="shared" si="2"/>
        <v/>
      </c>
      <c r="K60" s="13" t="str">
        <f t="shared" si="3"/>
        <v/>
      </c>
      <c r="L60" s="14"/>
      <c r="M60" s="14"/>
      <c r="N60" s="14"/>
      <c r="O60" s="14"/>
      <c r="P60" s="14"/>
      <c r="Q60" s="14"/>
      <c r="R60" s="14"/>
      <c r="S60" s="13" t="str">
        <f t="shared" si="4"/>
        <v/>
      </c>
      <c r="T60" s="14"/>
      <c r="U60" s="13" t="str">
        <f t="shared" si="5"/>
        <v/>
      </c>
      <c r="V60" s="14"/>
      <c r="W60" s="14"/>
      <c r="X60" s="14"/>
      <c r="Y60" s="13" t="str">
        <f t="shared" si="6"/>
        <v/>
      </c>
      <c r="Z60" s="13" t="str">
        <f t="shared" si="7"/>
        <v/>
      </c>
      <c r="AA60" s="15"/>
      <c r="AB60" s="14"/>
      <c r="AC60" s="14"/>
      <c r="AD60" s="14"/>
      <c r="AE60" s="14"/>
    </row>
    <row r="61" ht="15.75" customHeight="1">
      <c r="A61" s="13" t="str">
        <f t="shared" si="1"/>
        <v/>
      </c>
      <c r="B61" s="14"/>
      <c r="C61" s="15"/>
      <c r="D61" s="14"/>
      <c r="E61" s="14"/>
      <c r="F61" s="14"/>
      <c r="G61" s="14"/>
      <c r="H61" s="14"/>
      <c r="I61" s="14"/>
      <c r="J61" s="13" t="str">
        <f t="shared" si="2"/>
        <v/>
      </c>
      <c r="K61" s="13" t="str">
        <f t="shared" si="3"/>
        <v/>
      </c>
      <c r="L61" s="14"/>
      <c r="M61" s="14"/>
      <c r="N61" s="14"/>
      <c r="O61" s="14"/>
      <c r="P61" s="14"/>
      <c r="Q61" s="14"/>
      <c r="R61" s="14"/>
      <c r="S61" s="13" t="str">
        <f t="shared" si="4"/>
        <v/>
      </c>
      <c r="T61" s="14"/>
      <c r="U61" s="13" t="str">
        <f t="shared" si="5"/>
        <v/>
      </c>
      <c r="V61" s="14"/>
      <c r="W61" s="14"/>
      <c r="X61" s="14"/>
      <c r="Y61" s="13" t="str">
        <f t="shared" si="6"/>
        <v/>
      </c>
      <c r="Z61" s="13" t="str">
        <f t="shared" si="7"/>
        <v/>
      </c>
      <c r="AA61" s="15"/>
      <c r="AB61" s="14"/>
      <c r="AC61" s="14"/>
      <c r="AD61" s="14"/>
      <c r="AE61" s="1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Invalid entry - Please choose a value from the dropdown list only." sqref="X2:X61">
      <formula1>Lists!$AA$2:$AA$4</formula1>
    </dataValidation>
    <dataValidation type="list" allowBlank="1" showInputMessage="1" showErrorMessage="1" prompt="Invalid ID - Please choose a valid actor_id from People_Roster." sqref="AA2:AA61">
      <formula1>People_Roster!$A$2:$A$61</formula1>
    </dataValidation>
    <dataValidation type="list" allowBlank="1" showInputMessage="1" showErrorMessage="1" prompt="Invalid ID - Please choose a valid theatre_id from Theatre_Master." sqref="C2:C61">
      <formula1>Theatre_Master!$A$2:$A$61</formula1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7.57"/>
    <col customWidth="1" min="3" max="3" width="9.29"/>
    <col customWidth="1" min="4" max="4" width="12.29"/>
  </cols>
  <sheetData>
    <row r="1">
      <c r="A1" s="16" t="s">
        <v>411</v>
      </c>
      <c r="B1" s="16" t="s">
        <v>412</v>
      </c>
      <c r="C1" s="16" t="s">
        <v>413</v>
      </c>
      <c r="D1" s="16" t="s">
        <v>414</v>
      </c>
    </row>
    <row r="2">
      <c r="A2" s="16" t="s">
        <v>415</v>
      </c>
      <c r="B2" s="16">
        <v>123456.0</v>
      </c>
      <c r="C2" s="16" t="s">
        <v>416</v>
      </c>
    </row>
    <row r="3">
      <c r="A3" s="16" t="s">
        <v>417</v>
      </c>
      <c r="B3" s="16">
        <v>123456.0</v>
      </c>
      <c r="C3" s="16" t="s">
        <v>416</v>
      </c>
    </row>
    <row r="4">
      <c r="A4" s="16" t="s">
        <v>418</v>
      </c>
      <c r="B4" s="16">
        <v>123.0</v>
      </c>
      <c r="C4" s="16" t="s">
        <v>419</v>
      </c>
    </row>
    <row r="5">
      <c r="A5" s="16" t="s">
        <v>420</v>
      </c>
      <c r="B5" s="16">
        <v>324.0</v>
      </c>
      <c r="C5" s="16" t="s">
        <v>419</v>
      </c>
    </row>
    <row r="6">
      <c r="A6" s="16" t="s">
        <v>421</v>
      </c>
      <c r="B6" s="16">
        <v>12354.0</v>
      </c>
      <c r="C6" s="16" t="s">
        <v>419</v>
      </c>
    </row>
    <row r="7">
      <c r="A7" s="16" t="s">
        <v>422</v>
      </c>
      <c r="B7" s="16">
        <v>123.0</v>
      </c>
      <c r="C7" s="16" t="s">
        <v>423</v>
      </c>
    </row>
    <row r="8">
      <c r="A8" s="16" t="s">
        <v>424</v>
      </c>
      <c r="B8" s="16">
        <v>213.0</v>
      </c>
      <c r="C8" s="16" t="s">
        <v>416</v>
      </c>
    </row>
    <row r="9">
      <c r="A9" s="16" t="s">
        <v>425</v>
      </c>
      <c r="B9" s="16">
        <v>1234.0</v>
      </c>
      <c r="C9" s="16" t="s">
        <v>416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426</v>
      </c>
      <c r="B1" s="16" t="s">
        <v>427</v>
      </c>
    </row>
    <row r="2">
      <c r="A2" s="17" t="s">
        <v>428</v>
      </c>
      <c r="B2" s="17" t="s">
        <v>429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430</v>
      </c>
      <c r="B1" s="16" t="s">
        <v>431</v>
      </c>
      <c r="C1" s="16" t="s">
        <v>432</v>
      </c>
      <c r="D1" s="16" t="s">
        <v>433</v>
      </c>
      <c r="E1" s="16" t="s">
        <v>434</v>
      </c>
      <c r="F1" s="16" t="s">
        <v>435</v>
      </c>
      <c r="G1" s="16" t="s">
        <v>436</v>
      </c>
      <c r="H1" s="16" t="s">
        <v>437</v>
      </c>
      <c r="I1" s="16" t="s">
        <v>438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6" t="s">
        <v>439</v>
      </c>
      <c r="B1" s="16" t="s">
        <v>440</v>
      </c>
      <c r="C1" s="16" t="s">
        <v>441</v>
      </c>
      <c r="D1" s="16" t="s">
        <v>442</v>
      </c>
      <c r="E1" s="16" t="s">
        <v>443</v>
      </c>
      <c r="F1" s="16" t="s">
        <v>444</v>
      </c>
      <c r="G1" s="16" t="s">
        <v>445</v>
      </c>
      <c r="H1" s="16" t="s">
        <v>446</v>
      </c>
      <c r="I1" s="16" t="s">
        <v>447</v>
      </c>
      <c r="J1" s="16" t="s">
        <v>448</v>
      </c>
    </row>
    <row r="2">
      <c r="A2" s="16" t="s">
        <v>449</v>
      </c>
      <c r="B2" s="17" t="s">
        <v>429</v>
      </c>
      <c r="C2" s="17" t="s">
        <v>450</v>
      </c>
      <c r="D2" s="17" t="s">
        <v>451</v>
      </c>
      <c r="E2" s="17" t="s">
        <v>450</v>
      </c>
      <c r="F2" s="16" t="s">
        <v>452</v>
      </c>
      <c r="G2" s="16" t="s">
        <v>452</v>
      </c>
      <c r="H2" s="16" t="s">
        <v>452</v>
      </c>
      <c r="I2" s="16" t="s">
        <v>452</v>
      </c>
      <c r="J2" s="16" t="s">
        <v>452</v>
      </c>
    </row>
  </sheetData>
  <drawing r:id="rId1"/>
</worksheet>
</file>